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blaine/Documents/Projects/Excel/security-risk-modeling/risk-rating-model/"/>
    </mc:Choice>
  </mc:AlternateContent>
  <xr:revisionPtr revIDLastSave="0" documentId="13_ncr:1_{3918E644-DC25-714A-805F-4E446944E1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READ" sheetId="7" r:id="rId1"/>
    <sheet name="CVSS 2.0" sheetId="8" r:id="rId2"/>
    <sheet name="CVSS 3.0" sheetId="9" r:id="rId3"/>
    <sheet name="CVSS 3.1" sheetId="10" r:id="rId4"/>
    <sheet name="OWASP RRM" sheetId="11" r:id="rId5"/>
    <sheet name="Data" sheetId="1" r:id="rId6"/>
  </sheets>
  <definedNames>
    <definedName name="CVSS2_A">Data!$A$68:$A$70</definedName>
    <definedName name="CVSS2_A_Code">Data!$C$68:$C$70</definedName>
    <definedName name="CVSS2_A_Value">Data!$B$68:$B$70</definedName>
    <definedName name="CVSS2_AC">Data!$A$48:$A$50</definedName>
    <definedName name="CVSS2_AC_Code">Data!$C$48:$C$50</definedName>
    <definedName name="CVSS2_AC_Value">Data!$B$48:$B$50</definedName>
    <definedName name="CVSS2_Au">Data!$A$53:$A$55</definedName>
    <definedName name="CVSS2_Au_Code">Data!$C$53:$C$55</definedName>
    <definedName name="CVSS2_Au_Value">Data!$B$53:$B$55</definedName>
    <definedName name="CVSS2_AV">Data!$A$43:$A$45</definedName>
    <definedName name="CVSS2_AV_Code">Data!$C$43:$C$45</definedName>
    <definedName name="CVSS2_AV_Value">Data!$B$43:$B$45</definedName>
    <definedName name="CVSS2_C">Data!$A$58:$A$60</definedName>
    <definedName name="CVSS2_C_Code">Data!$C$58:$C$60</definedName>
    <definedName name="CVSS2_C_Value">Data!$B$58:$B$60</definedName>
    <definedName name="CVSS2_I">Data!$A$63:$A$65</definedName>
    <definedName name="CVSS2_I_Code">Data!$C$63:$C$65</definedName>
    <definedName name="CVSS2_I_Value">Data!$B$63:$B$65</definedName>
    <definedName name="CVSS30_A">Data!$A$106:$A$108</definedName>
    <definedName name="CVSS30_A_Code">Data!$C$106:$C$108</definedName>
    <definedName name="CVSS30_A_Value">Data!$B$106:$B$108</definedName>
    <definedName name="CVSS30_AC">Data!$A$79:$A$80</definedName>
    <definedName name="CVSS30_AC_Code">Data!$C$79:$C$80</definedName>
    <definedName name="CVSS30_AC_Value">Data!$B$79:$B$80</definedName>
    <definedName name="CVSS30_AV">Data!$A$73:$A$76</definedName>
    <definedName name="CVSS30_AV_Code">Data!$C$73:$C$76</definedName>
    <definedName name="CVSS30_AV_Value">Data!$B$73:$B$76</definedName>
    <definedName name="CVSS30_C">Data!$A$96:$A$98</definedName>
    <definedName name="CVSS30_C_Code">Data!$C$96:$C$98</definedName>
    <definedName name="CVSS30_C_Value">Data!$B$96:$B$98</definedName>
    <definedName name="CVSS30_I">Data!$A$101:$A$103</definedName>
    <definedName name="CVSS30_I_Code">Data!$C$101:$C$103</definedName>
    <definedName name="CVSS30_I_Value">Data!$B$101:$B$103</definedName>
    <definedName name="CVSS30_PR">Data!$A$83:$A$85</definedName>
    <definedName name="CVSS30_PR_Code">Data!$C$83:$C$85</definedName>
    <definedName name="CVSS30_PR_Value">Data!$B$83:$B$85</definedName>
    <definedName name="CVSS30_S">Data!$A$92:$A$93</definedName>
    <definedName name="CVSS30_S_Code">Data!$C$92:$C$93</definedName>
    <definedName name="CVSS30_S_Value">Data!$B$92:$B$93</definedName>
    <definedName name="CVSS30_UI">Data!$A$88:$A$89</definedName>
    <definedName name="CVSS30_UI_Code">Data!$C$88:$C$89</definedName>
    <definedName name="CVSS30_UI_Value">Data!$B$88:$B$89</definedName>
    <definedName name="CVSS31_A">Data!$A$144:$A$146</definedName>
    <definedName name="CVSS31_A_Code">Data!$C$144:$C$146</definedName>
    <definedName name="CVSS31_A_Value">Data!$B$144:$B$146</definedName>
    <definedName name="CVSS31_AC">Data!$A$117:$A$118</definedName>
    <definedName name="CVSS31_AC_Code">Data!$C$117:$C$118</definedName>
    <definedName name="CVSS31_AC_Value">Data!$B$117:$B$118</definedName>
    <definedName name="CVSS31_AV">Data!$A$111:$A$114</definedName>
    <definedName name="CVSS31_AV_Code">Data!$C$111:$C$114</definedName>
    <definedName name="CVSS31_AV_Value">Data!$B$111:$B$114</definedName>
    <definedName name="CVSS31_C">Data!$A$134:$A$136</definedName>
    <definedName name="CVSS31_C_Code">Data!$C$134:$C$136</definedName>
    <definedName name="CVSS31_C_Value">Data!$B$134:$B$136</definedName>
    <definedName name="CVSS31_I">Data!$A$139:$A$141</definedName>
    <definedName name="CVSS31_I_Code">Data!$C$139:$C$141</definedName>
    <definedName name="CVSS31_I_Value">Data!$B$139:$B$141</definedName>
    <definedName name="CVSS31_PR">Data!$A$121:$A$123</definedName>
    <definedName name="CVSS31_PR_Code">Data!$C$121:$C$123</definedName>
    <definedName name="CVSS31_PR_Value">Data!$B$121:$B$123</definedName>
    <definedName name="CVSS31_S">Data!$A$130:$A$131</definedName>
    <definedName name="CVSS31_S_Code">Data!$C$130:$C$131</definedName>
    <definedName name="CVSS31_S_Value">Data!$B$130:$B$131</definedName>
    <definedName name="CVSS31_UI">Data!$A$126:$A$127</definedName>
    <definedName name="CVSS31_UI_Code">Data!$C$126:$C$127</definedName>
    <definedName name="CVSS31_UI_Value">Data!$B$126:$B$127</definedName>
    <definedName name="DREAD_AffectedUsers">Data!$A$29:$A$33</definedName>
    <definedName name="DREAD_AffectedUsers_Code">Data!$C$29:$C$33</definedName>
    <definedName name="DREAD_AffectedUsers_Value">Data!$B$29:$B$33</definedName>
    <definedName name="DREAD_Damage">Data!$A$8:$A$12</definedName>
    <definedName name="DREAD_Damage_Code">Data!$C$8:$C$12</definedName>
    <definedName name="DREAD_Damage_Value">Data!$B$8:$B$12</definedName>
    <definedName name="DREAD_Discoverability">Data!$A$36:$A$40</definedName>
    <definedName name="DREAD_Discoverability_Code">Data!$C$36:$C$40</definedName>
    <definedName name="DREAD_Discoverability_Value">Data!$B$36:$B$40</definedName>
    <definedName name="DREAD_Exploitability">Data!$A$22:$A$26</definedName>
    <definedName name="DREAD_Exploitability_Code">Data!$C$22:$C$26</definedName>
    <definedName name="DREAD_Exploitability_Value">Data!$B$22:$B$26</definedName>
    <definedName name="DREAD_Reproducibility">Data!$A$15:$A$19</definedName>
    <definedName name="DREAD_Reproducibility_Code">Data!$C$15:$C$19</definedName>
    <definedName name="DREAD_Reproducibility_Value">Data!$B$15:$B$19</definedName>
    <definedName name="OWASP_Accountability">Data!$A$220:$A$222</definedName>
    <definedName name="OWASP_Accountability_Code">Data!$C$220:$C$222</definedName>
    <definedName name="OWASP_Accountability_Value">Data!$B$220:$B$222</definedName>
    <definedName name="OWASP_Availability">Data!$A$213:$A$217</definedName>
    <definedName name="OWASP_Availability_Code">Data!$C$213:$C$217</definedName>
    <definedName name="OWASP_Availability_Value">Data!$B$213:$B$217</definedName>
    <definedName name="OWASP_Awareness">Data!$A$187:$A$190</definedName>
    <definedName name="OWASP_Awareness_Code">Data!$C$187:$C$190</definedName>
    <definedName name="OWASP_Awareness_Value">Data!$B$187:$B$190</definedName>
    <definedName name="OWASP_Confidentiality">Data!$A$199:$A$203</definedName>
    <definedName name="OWASP_Confidentiality_Code">Data!$C$199:$C$203</definedName>
    <definedName name="OWASP_Confidentiality_Value">Data!$B$199:$B$203</definedName>
    <definedName name="OWASP_Detection">Data!$A$193:$A$196</definedName>
    <definedName name="OWASP_Detection_Code">Data!$C$193:$C$196</definedName>
    <definedName name="OWASP_Detection_Value">Data!$B$193:$B$196</definedName>
    <definedName name="OWASP_Discovery">Data!$A$175:$A$178</definedName>
    <definedName name="OWASP_Discovery_Code">Data!$C$175:$C$178</definedName>
    <definedName name="OWASP_Discovery_Value">Data!$B$175:$B$178</definedName>
    <definedName name="OWASP_Exploit">Data!$A$181:$A$184</definedName>
    <definedName name="OWASP_Exploit_Code">Data!$C$181:$C$184</definedName>
    <definedName name="OWASP_Exploit_Value">Data!$B$181:$B$184</definedName>
    <definedName name="OWASP_Financial">Data!$A$225:$A$228</definedName>
    <definedName name="OWASP_Financial_Code">Data!$C$225:$C$228</definedName>
    <definedName name="OWASP_Financial_Value">Data!$B$225:$B$228</definedName>
    <definedName name="OWASP_Integrity">Data!$A$206:$A$210</definedName>
    <definedName name="OWASP_Integrity_Code">Data!$C$206:$C$210</definedName>
    <definedName name="OWASP_Integrity_Value">Data!$B$206:$B$210</definedName>
    <definedName name="OWASP_Motive">Data!$A$156:$A$158</definedName>
    <definedName name="OWASP_Motive_Code">Data!$C$156:$C$158</definedName>
    <definedName name="OWASP_Motive_Value">Data!$B$156:$B$158</definedName>
    <definedName name="OWASP_NonCompliance">Data!$A$237:$A$239</definedName>
    <definedName name="OWASP_NonCompliance_Code">Data!$C$237:$C$239</definedName>
    <definedName name="OWASP_NonCompliance_Value">Data!$B$237:$B$239</definedName>
    <definedName name="OWASP_Opportunity">Data!$A$161:$A$164</definedName>
    <definedName name="OWASP_Opportunity_Code">Data!$C$161:$C$164</definedName>
    <definedName name="OWASP_Opportunity_Value">Data!$B$161:$B$164</definedName>
    <definedName name="OWASP_Privacy">Data!$A$242:$A$245</definedName>
    <definedName name="OWASP_Privacy_Code">Data!$C$242:$C$245</definedName>
    <definedName name="OWASP_Privacy_Value">Data!$B$242:$B$245</definedName>
    <definedName name="OWASP_Reputation">Data!$A$231:$A$234</definedName>
    <definedName name="OWASP_Reputation_Code">Data!$C$231:$C$234</definedName>
    <definedName name="OWASP_Reputation_Value">Data!$B$231:$B$234</definedName>
    <definedName name="OWASP_Size">Data!$A$167:$A$172</definedName>
    <definedName name="OWASP_Size_Code">Data!$C$167:$C$172</definedName>
    <definedName name="OWASP_Size_Value">Data!$B$167:$B$172</definedName>
    <definedName name="OWASP_Skill">Data!$A$149:$A$153</definedName>
    <definedName name="OWASP_Skill_Code">Data!$C$149:$C$153</definedName>
    <definedName name="OWASP_Skill_Value">Data!$B$149:$B$153</definedName>
    <definedName name="Risk_State">Data!$A$4:$A$5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1" i="11" l="1"/>
  <c r="AQ51" i="11" s="1"/>
  <c r="F51" i="11" s="1"/>
  <c r="E51" i="11" s="1"/>
  <c r="H51" i="11" s="1"/>
  <c r="AO51" i="11"/>
  <c r="G51" i="11"/>
  <c r="AP50" i="11"/>
  <c r="AQ50" i="11" s="1"/>
  <c r="F50" i="11" s="1"/>
  <c r="E50" i="11" s="1"/>
  <c r="H50" i="11" s="1"/>
  <c r="AO50" i="11"/>
  <c r="G50" i="11"/>
  <c r="AP49" i="11"/>
  <c r="AQ49" i="11" s="1"/>
  <c r="F49" i="11" s="1"/>
  <c r="E49" i="11" s="1"/>
  <c r="H49" i="11" s="1"/>
  <c r="AO49" i="11"/>
  <c r="G49" i="11"/>
  <c r="AP48" i="11"/>
  <c r="AQ48" i="11" s="1"/>
  <c r="F48" i="11" s="1"/>
  <c r="E48" i="11" s="1"/>
  <c r="H48" i="11" s="1"/>
  <c r="AO48" i="11"/>
  <c r="G48" i="11"/>
  <c r="AP47" i="11"/>
  <c r="AO47" i="11"/>
  <c r="AQ47" i="11" s="1"/>
  <c r="F47" i="11" s="1"/>
  <c r="E47" i="11" s="1"/>
  <c r="H47" i="11" s="1"/>
  <c r="G47" i="11"/>
  <c r="AQ46" i="11"/>
  <c r="AP46" i="11"/>
  <c r="AO46" i="11"/>
  <c r="G46" i="11"/>
  <c r="F46" i="11"/>
  <c r="E46" i="11" s="1"/>
  <c r="H46" i="11" s="1"/>
  <c r="AQ45" i="11"/>
  <c r="F45" i="11" s="1"/>
  <c r="E45" i="11" s="1"/>
  <c r="H45" i="11" s="1"/>
  <c r="AP45" i="11"/>
  <c r="AO45" i="11"/>
  <c r="G45" i="11"/>
  <c r="AP44" i="11"/>
  <c r="AO44" i="11"/>
  <c r="AQ44" i="11" s="1"/>
  <c r="F44" i="11" s="1"/>
  <c r="E44" i="11" s="1"/>
  <c r="H44" i="11" s="1"/>
  <c r="G44" i="11"/>
  <c r="AQ43" i="11"/>
  <c r="F43" i="11" s="1"/>
  <c r="E43" i="11" s="1"/>
  <c r="H43" i="11" s="1"/>
  <c r="AP43" i="11"/>
  <c r="AO43" i="11"/>
  <c r="G43" i="11"/>
  <c r="AQ42" i="11"/>
  <c r="F42" i="11" s="1"/>
  <c r="E42" i="11" s="1"/>
  <c r="H42" i="11" s="1"/>
  <c r="AP42" i="11"/>
  <c r="AO42" i="11"/>
  <c r="G42" i="11"/>
  <c r="AP41" i="11"/>
  <c r="AQ41" i="11" s="1"/>
  <c r="F41" i="11" s="1"/>
  <c r="E41" i="11" s="1"/>
  <c r="H41" i="11" s="1"/>
  <c r="AO41" i="11"/>
  <c r="G41" i="11"/>
  <c r="AP40" i="11"/>
  <c r="AQ40" i="11" s="1"/>
  <c r="F40" i="11" s="1"/>
  <c r="E40" i="11" s="1"/>
  <c r="H40" i="11" s="1"/>
  <c r="AO40" i="11"/>
  <c r="G40" i="11"/>
  <c r="AP39" i="11"/>
  <c r="AQ39" i="11" s="1"/>
  <c r="F39" i="11" s="1"/>
  <c r="E39" i="11" s="1"/>
  <c r="H39" i="11" s="1"/>
  <c r="AO39" i="11"/>
  <c r="G39" i="11"/>
  <c r="AP38" i="11"/>
  <c r="AQ38" i="11" s="1"/>
  <c r="F38" i="11" s="1"/>
  <c r="E38" i="11" s="1"/>
  <c r="H38" i="11" s="1"/>
  <c r="AO38" i="11"/>
  <c r="G38" i="11"/>
  <c r="AP37" i="11"/>
  <c r="AQ37" i="11" s="1"/>
  <c r="F37" i="11" s="1"/>
  <c r="E37" i="11" s="1"/>
  <c r="H37" i="11" s="1"/>
  <c r="AO37" i="11"/>
  <c r="G37" i="11"/>
  <c r="AP36" i="11"/>
  <c r="AQ36" i="11" s="1"/>
  <c r="F36" i="11" s="1"/>
  <c r="E36" i="11" s="1"/>
  <c r="H36" i="11" s="1"/>
  <c r="AO36" i="11"/>
  <c r="G36" i="11"/>
  <c r="AP35" i="11"/>
  <c r="AO35" i="11"/>
  <c r="AQ35" i="11" s="1"/>
  <c r="F35" i="11" s="1"/>
  <c r="E35" i="11" s="1"/>
  <c r="H35" i="11" s="1"/>
  <c r="G35" i="11"/>
  <c r="AQ34" i="11"/>
  <c r="AP34" i="11"/>
  <c r="AO34" i="11"/>
  <c r="G34" i="11"/>
  <c r="F34" i="11"/>
  <c r="E34" i="11" s="1"/>
  <c r="H34" i="11" s="1"/>
  <c r="AQ33" i="11"/>
  <c r="F33" i="11" s="1"/>
  <c r="E33" i="11" s="1"/>
  <c r="H33" i="11" s="1"/>
  <c r="AP33" i="11"/>
  <c r="AO33" i="11"/>
  <c r="G33" i="11"/>
  <c r="AP32" i="11"/>
  <c r="AO32" i="11"/>
  <c r="AQ32" i="11" s="1"/>
  <c r="F32" i="11" s="1"/>
  <c r="E32" i="11" s="1"/>
  <c r="H32" i="11" s="1"/>
  <c r="G32" i="11"/>
  <c r="AQ31" i="11"/>
  <c r="F31" i="11" s="1"/>
  <c r="E31" i="11" s="1"/>
  <c r="H31" i="11" s="1"/>
  <c r="AP31" i="11"/>
  <c r="AO31" i="11"/>
  <c r="G31" i="11"/>
  <c r="AP30" i="11"/>
  <c r="AQ30" i="11" s="1"/>
  <c r="F30" i="11" s="1"/>
  <c r="E30" i="11" s="1"/>
  <c r="H30" i="11" s="1"/>
  <c r="AO30" i="11"/>
  <c r="G30" i="11"/>
  <c r="AP29" i="11"/>
  <c r="AQ29" i="11" s="1"/>
  <c r="F29" i="11" s="1"/>
  <c r="E29" i="11" s="1"/>
  <c r="H29" i="11" s="1"/>
  <c r="AO29" i="11"/>
  <c r="G29" i="11"/>
  <c r="AP28" i="11"/>
  <c r="AQ28" i="11" s="1"/>
  <c r="F28" i="11" s="1"/>
  <c r="E28" i="11" s="1"/>
  <c r="H28" i="11" s="1"/>
  <c r="AO28" i="11"/>
  <c r="G28" i="11"/>
  <c r="AP27" i="11"/>
  <c r="AQ27" i="11" s="1"/>
  <c r="F27" i="11" s="1"/>
  <c r="E27" i="11" s="1"/>
  <c r="H27" i="11" s="1"/>
  <c r="AO27" i="11"/>
  <c r="G27" i="11"/>
  <c r="AP26" i="11"/>
  <c r="AQ26" i="11" s="1"/>
  <c r="F26" i="11" s="1"/>
  <c r="E26" i="11" s="1"/>
  <c r="H26" i="11" s="1"/>
  <c r="AO26" i="11"/>
  <c r="G26" i="11"/>
  <c r="AP25" i="11"/>
  <c r="AQ25" i="11" s="1"/>
  <c r="F25" i="11" s="1"/>
  <c r="E25" i="11" s="1"/>
  <c r="H25" i="11" s="1"/>
  <c r="AO25" i="11"/>
  <c r="G25" i="11"/>
  <c r="AP24" i="11"/>
  <c r="AQ24" i="11" s="1"/>
  <c r="F24" i="11" s="1"/>
  <c r="E24" i="11" s="1"/>
  <c r="H24" i="11" s="1"/>
  <c r="AO24" i="11"/>
  <c r="G24" i="11"/>
  <c r="AQ23" i="11"/>
  <c r="F23" i="11" s="1"/>
  <c r="E23" i="11" s="1"/>
  <c r="H23" i="11" s="1"/>
  <c r="AP23" i="11"/>
  <c r="AO23" i="11"/>
  <c r="G23" i="11"/>
  <c r="AQ22" i="11"/>
  <c r="AP22" i="11"/>
  <c r="AO22" i="11"/>
  <c r="G22" i="11"/>
  <c r="F22" i="11"/>
  <c r="E22" i="11" s="1"/>
  <c r="H22" i="11" s="1"/>
  <c r="AQ21" i="11"/>
  <c r="F21" i="11" s="1"/>
  <c r="E21" i="11" s="1"/>
  <c r="H21" i="11" s="1"/>
  <c r="AP21" i="11"/>
  <c r="AO21" i="11"/>
  <c r="G21" i="11"/>
  <c r="AP20" i="11"/>
  <c r="AO20" i="11"/>
  <c r="AQ20" i="11" s="1"/>
  <c r="F20" i="11" s="1"/>
  <c r="E20" i="11" s="1"/>
  <c r="H20" i="11" s="1"/>
  <c r="G20" i="11"/>
  <c r="AQ19" i="11"/>
  <c r="F19" i="11" s="1"/>
  <c r="E19" i="11" s="1"/>
  <c r="H19" i="11" s="1"/>
  <c r="AP19" i="11"/>
  <c r="AO19" i="11"/>
  <c r="G19" i="11"/>
  <c r="AP18" i="11"/>
  <c r="AQ18" i="11" s="1"/>
  <c r="F18" i="11" s="1"/>
  <c r="E18" i="11" s="1"/>
  <c r="H18" i="11" s="1"/>
  <c r="AO18" i="11"/>
  <c r="G18" i="11"/>
  <c r="AP17" i="11"/>
  <c r="AQ17" i="11" s="1"/>
  <c r="F17" i="11" s="1"/>
  <c r="E17" i="11" s="1"/>
  <c r="H17" i="11" s="1"/>
  <c r="AO17" i="11"/>
  <c r="G17" i="11"/>
  <c r="AP16" i="11"/>
  <c r="AQ16" i="11" s="1"/>
  <c r="F16" i="11" s="1"/>
  <c r="E16" i="11" s="1"/>
  <c r="H16" i="11" s="1"/>
  <c r="AO16" i="11"/>
  <c r="G16" i="11"/>
  <c r="AP15" i="11"/>
  <c r="AQ15" i="11" s="1"/>
  <c r="F15" i="11" s="1"/>
  <c r="E15" i="11" s="1"/>
  <c r="H15" i="11" s="1"/>
  <c r="AO15" i="11"/>
  <c r="G15" i="11"/>
  <c r="AP14" i="11"/>
  <c r="AQ14" i="11" s="1"/>
  <c r="F14" i="11" s="1"/>
  <c r="E14" i="11" s="1"/>
  <c r="H14" i="11" s="1"/>
  <c r="AO14" i="11"/>
  <c r="G14" i="11"/>
  <c r="AP13" i="11"/>
  <c r="AQ13" i="11" s="1"/>
  <c r="F13" i="11" s="1"/>
  <c r="E13" i="11" s="1"/>
  <c r="H13" i="11" s="1"/>
  <c r="AO13" i="11"/>
  <c r="G13" i="11"/>
  <c r="AP12" i="11"/>
  <c r="AQ12" i="11" s="1"/>
  <c r="F12" i="11" s="1"/>
  <c r="E12" i="11" s="1"/>
  <c r="H12" i="11" s="1"/>
  <c r="AO12" i="11"/>
  <c r="G12" i="11"/>
  <c r="AQ11" i="11"/>
  <c r="F11" i="11" s="1"/>
  <c r="E11" i="11" s="1"/>
  <c r="H11" i="11" s="1"/>
  <c r="AP11" i="11"/>
  <c r="AO11" i="11"/>
  <c r="G11" i="11"/>
  <c r="AQ10" i="11"/>
  <c r="AP10" i="11"/>
  <c r="AO10" i="11"/>
  <c r="G10" i="11"/>
  <c r="F10" i="11"/>
  <c r="E10" i="11" s="1"/>
  <c r="H10" i="11" s="1"/>
  <c r="AQ9" i="11"/>
  <c r="F9" i="11" s="1"/>
  <c r="E9" i="11" s="1"/>
  <c r="H9" i="11" s="1"/>
  <c r="AP9" i="11"/>
  <c r="AO9" i="11"/>
  <c r="G9" i="11"/>
  <c r="AP8" i="11"/>
  <c r="AO8" i="11"/>
  <c r="AQ8" i="11" s="1"/>
  <c r="F8" i="11" s="1"/>
  <c r="E8" i="11" s="1"/>
  <c r="H8" i="11" s="1"/>
  <c r="G8" i="11"/>
  <c r="AQ7" i="11"/>
  <c r="F7" i="11" s="1"/>
  <c r="E7" i="11" s="1"/>
  <c r="H7" i="11" s="1"/>
  <c r="AP7" i="11"/>
  <c r="AO7" i="11"/>
  <c r="G7" i="11"/>
  <c r="AP6" i="11"/>
  <c r="AQ6" i="11" s="1"/>
  <c r="F6" i="11" s="1"/>
  <c r="E6" i="11" s="1"/>
  <c r="H6" i="11" s="1"/>
  <c r="AO6" i="11"/>
  <c r="G6" i="11"/>
  <c r="AP5" i="11"/>
  <c r="AQ5" i="11" s="1"/>
  <c r="F5" i="11" s="1"/>
  <c r="E5" i="11" s="1"/>
  <c r="H5" i="11" s="1"/>
  <c r="AO5" i="11"/>
  <c r="G5" i="11"/>
  <c r="AP4" i="11"/>
  <c r="AQ4" i="11" s="1"/>
  <c r="F4" i="11" s="1"/>
  <c r="E4" i="11" s="1"/>
  <c r="H4" i="11" s="1"/>
  <c r="AO4" i="11"/>
  <c r="G4" i="11"/>
  <c r="AP3" i="11"/>
  <c r="AQ3" i="11" s="1"/>
  <c r="F3" i="11" s="1"/>
  <c r="E3" i="11" s="1"/>
  <c r="H3" i="11" s="1"/>
  <c r="AO3" i="11"/>
  <c r="G3" i="11"/>
  <c r="AQ2" i="11"/>
  <c r="F2" i="11" s="1"/>
  <c r="E2" i="11" s="1"/>
  <c r="H2" i="11" s="1"/>
  <c r="AP2" i="11"/>
  <c r="AO2" i="11"/>
  <c r="G2" i="11"/>
  <c r="Y51" i="10"/>
  <c r="G51" i="10"/>
  <c r="F51" i="10"/>
  <c r="H51" i="10" s="1"/>
  <c r="E51" i="10" s="1"/>
  <c r="Y50" i="10"/>
  <c r="G50" i="10"/>
  <c r="H50" i="10" s="1"/>
  <c r="E50" i="10" s="1"/>
  <c r="F50" i="10"/>
  <c r="Y49" i="10"/>
  <c r="G49" i="10"/>
  <c r="F49" i="10"/>
  <c r="H49" i="10" s="1"/>
  <c r="E49" i="10" s="1"/>
  <c r="Y48" i="10"/>
  <c r="H48" i="10"/>
  <c r="E48" i="10" s="1"/>
  <c r="G48" i="10"/>
  <c r="F48" i="10"/>
  <c r="Y47" i="10"/>
  <c r="H47" i="10"/>
  <c r="G47" i="10"/>
  <c r="F47" i="10"/>
  <c r="E47" i="10"/>
  <c r="Y46" i="10"/>
  <c r="G46" i="10"/>
  <c r="H46" i="10" s="1"/>
  <c r="E46" i="10" s="1"/>
  <c r="F46" i="10"/>
  <c r="Y45" i="10"/>
  <c r="H45" i="10"/>
  <c r="E45" i="10" s="1"/>
  <c r="G45" i="10"/>
  <c r="F45" i="10"/>
  <c r="Y44" i="10"/>
  <c r="G44" i="10"/>
  <c r="F44" i="10"/>
  <c r="H44" i="10" s="1"/>
  <c r="E44" i="10" s="1"/>
  <c r="Y43" i="10"/>
  <c r="G43" i="10"/>
  <c r="F43" i="10"/>
  <c r="H43" i="10" s="1"/>
  <c r="E43" i="10" s="1"/>
  <c r="Y42" i="10"/>
  <c r="G42" i="10"/>
  <c r="F42" i="10"/>
  <c r="H42" i="10" s="1"/>
  <c r="E42" i="10" s="1"/>
  <c r="Y41" i="10"/>
  <c r="H41" i="10"/>
  <c r="E41" i="10" s="1"/>
  <c r="G41" i="10"/>
  <c r="F41" i="10"/>
  <c r="Y40" i="10"/>
  <c r="G40" i="10"/>
  <c r="F40" i="10"/>
  <c r="H40" i="10" s="1"/>
  <c r="E40" i="10" s="1"/>
  <c r="Y39" i="10"/>
  <c r="G39" i="10"/>
  <c r="F39" i="10"/>
  <c r="H39" i="10" s="1"/>
  <c r="E39" i="10" s="1"/>
  <c r="Y38" i="10"/>
  <c r="G38" i="10"/>
  <c r="H38" i="10" s="1"/>
  <c r="E38" i="10" s="1"/>
  <c r="F38" i="10"/>
  <c r="Y37" i="10"/>
  <c r="G37" i="10"/>
  <c r="F37" i="10"/>
  <c r="H37" i="10" s="1"/>
  <c r="E37" i="10" s="1"/>
  <c r="Y36" i="10"/>
  <c r="H36" i="10"/>
  <c r="E36" i="10" s="1"/>
  <c r="G36" i="10"/>
  <c r="F36" i="10"/>
  <c r="Y35" i="10"/>
  <c r="H35" i="10"/>
  <c r="G35" i="10"/>
  <c r="F35" i="10"/>
  <c r="E35" i="10"/>
  <c r="Y34" i="10"/>
  <c r="G34" i="10"/>
  <c r="H34" i="10" s="1"/>
  <c r="E34" i="10" s="1"/>
  <c r="F34" i="10"/>
  <c r="Y33" i="10"/>
  <c r="H33" i="10"/>
  <c r="E33" i="10" s="1"/>
  <c r="G33" i="10"/>
  <c r="F33" i="10"/>
  <c r="Y32" i="10"/>
  <c r="G32" i="10"/>
  <c r="F32" i="10"/>
  <c r="H32" i="10" s="1"/>
  <c r="E32" i="10" s="1"/>
  <c r="Y31" i="10"/>
  <c r="G31" i="10"/>
  <c r="F31" i="10"/>
  <c r="H31" i="10" s="1"/>
  <c r="E31" i="10" s="1"/>
  <c r="Y30" i="10"/>
  <c r="G30" i="10"/>
  <c r="F30" i="10"/>
  <c r="H30" i="10" s="1"/>
  <c r="E30" i="10" s="1"/>
  <c r="Y29" i="10"/>
  <c r="H29" i="10"/>
  <c r="E29" i="10" s="1"/>
  <c r="G29" i="10"/>
  <c r="F29" i="10"/>
  <c r="Y28" i="10"/>
  <c r="G28" i="10"/>
  <c r="F28" i="10"/>
  <c r="H28" i="10" s="1"/>
  <c r="E28" i="10" s="1"/>
  <c r="Y27" i="10"/>
  <c r="G27" i="10"/>
  <c r="F27" i="10"/>
  <c r="H27" i="10" s="1"/>
  <c r="E27" i="10" s="1"/>
  <c r="Y26" i="10"/>
  <c r="G26" i="10"/>
  <c r="H26" i="10" s="1"/>
  <c r="E26" i="10" s="1"/>
  <c r="F26" i="10"/>
  <c r="Y25" i="10"/>
  <c r="G25" i="10"/>
  <c r="F25" i="10"/>
  <c r="H25" i="10" s="1"/>
  <c r="E25" i="10" s="1"/>
  <c r="Y24" i="10"/>
  <c r="H24" i="10"/>
  <c r="E24" i="10" s="1"/>
  <c r="G24" i="10"/>
  <c r="F24" i="10"/>
  <c r="Y23" i="10"/>
  <c r="H23" i="10"/>
  <c r="G23" i="10"/>
  <c r="F23" i="10"/>
  <c r="E23" i="10"/>
  <c r="Y22" i="10"/>
  <c r="G22" i="10"/>
  <c r="H22" i="10" s="1"/>
  <c r="E22" i="10" s="1"/>
  <c r="F22" i="10"/>
  <c r="Y21" i="10"/>
  <c r="H21" i="10"/>
  <c r="E21" i="10" s="1"/>
  <c r="G21" i="10"/>
  <c r="F21" i="10"/>
  <c r="Y20" i="10"/>
  <c r="G20" i="10"/>
  <c r="F20" i="10"/>
  <c r="H20" i="10" s="1"/>
  <c r="E20" i="10" s="1"/>
  <c r="Y19" i="10"/>
  <c r="G19" i="10"/>
  <c r="F19" i="10"/>
  <c r="H19" i="10" s="1"/>
  <c r="E19" i="10" s="1"/>
  <c r="Y18" i="10"/>
  <c r="G18" i="10"/>
  <c r="F18" i="10"/>
  <c r="H18" i="10" s="1"/>
  <c r="E18" i="10" s="1"/>
  <c r="Y17" i="10"/>
  <c r="H17" i="10"/>
  <c r="E17" i="10" s="1"/>
  <c r="G17" i="10"/>
  <c r="F17" i="10"/>
  <c r="Y16" i="10"/>
  <c r="G16" i="10"/>
  <c r="F16" i="10"/>
  <c r="H16" i="10" s="1"/>
  <c r="E16" i="10" s="1"/>
  <c r="Y15" i="10"/>
  <c r="H15" i="10"/>
  <c r="E15" i="10" s="1"/>
  <c r="G15" i="10"/>
  <c r="F15" i="10"/>
  <c r="Y14" i="10"/>
  <c r="G14" i="10"/>
  <c r="H14" i="10" s="1"/>
  <c r="E14" i="10" s="1"/>
  <c r="F14" i="10"/>
  <c r="Y13" i="10"/>
  <c r="G13" i="10"/>
  <c r="F13" i="10"/>
  <c r="H13" i="10" s="1"/>
  <c r="E13" i="10" s="1"/>
  <c r="Y12" i="10"/>
  <c r="H12" i="10"/>
  <c r="E12" i="10" s="1"/>
  <c r="G12" i="10"/>
  <c r="F12" i="10"/>
  <c r="Y11" i="10"/>
  <c r="H11" i="10"/>
  <c r="G11" i="10"/>
  <c r="F11" i="10"/>
  <c r="E11" i="10"/>
  <c r="Y10" i="10"/>
  <c r="G10" i="10"/>
  <c r="H10" i="10" s="1"/>
  <c r="E10" i="10" s="1"/>
  <c r="F10" i="10"/>
  <c r="Y9" i="10"/>
  <c r="H9" i="10"/>
  <c r="E9" i="10" s="1"/>
  <c r="G9" i="10"/>
  <c r="F9" i="10"/>
  <c r="Y8" i="10"/>
  <c r="G8" i="10"/>
  <c r="F8" i="10"/>
  <c r="H8" i="10" s="1"/>
  <c r="E8" i="10" s="1"/>
  <c r="Y7" i="10"/>
  <c r="G7" i="10"/>
  <c r="F7" i="10"/>
  <c r="H7" i="10" s="1"/>
  <c r="E7" i="10" s="1"/>
  <c r="Y6" i="10"/>
  <c r="G6" i="10"/>
  <c r="F6" i="10"/>
  <c r="H6" i="10" s="1"/>
  <c r="E6" i="10" s="1"/>
  <c r="Y5" i="10"/>
  <c r="H5" i="10"/>
  <c r="E5" i="10" s="1"/>
  <c r="G5" i="10"/>
  <c r="F5" i="10"/>
  <c r="Y4" i="10"/>
  <c r="G4" i="10"/>
  <c r="F4" i="10"/>
  <c r="H4" i="10" s="1"/>
  <c r="E4" i="10" s="1"/>
  <c r="Y3" i="10"/>
  <c r="G3" i="10"/>
  <c r="F3" i="10"/>
  <c r="H3" i="10" s="1"/>
  <c r="E3" i="10" s="1"/>
  <c r="Y2" i="10"/>
  <c r="G2" i="10"/>
  <c r="F2" i="10"/>
  <c r="H2" i="10" s="1"/>
  <c r="E2" i="10" s="1"/>
  <c r="Y51" i="9"/>
  <c r="G51" i="9"/>
  <c r="F51" i="9"/>
  <c r="H51" i="9" s="1"/>
  <c r="E51" i="9" s="1"/>
  <c r="Y50" i="9"/>
  <c r="H50" i="9"/>
  <c r="E50" i="9" s="1"/>
  <c r="G50" i="9"/>
  <c r="F50" i="9"/>
  <c r="Y49" i="9"/>
  <c r="H49" i="9"/>
  <c r="G49" i="9"/>
  <c r="F49" i="9"/>
  <c r="E49" i="9"/>
  <c r="Y48" i="9"/>
  <c r="G48" i="9"/>
  <c r="F48" i="9"/>
  <c r="H48" i="9" s="1"/>
  <c r="E48" i="9" s="1"/>
  <c r="Y47" i="9"/>
  <c r="H47" i="9"/>
  <c r="E47" i="9" s="1"/>
  <c r="G47" i="9"/>
  <c r="F47" i="9"/>
  <c r="Y46" i="9"/>
  <c r="G46" i="9"/>
  <c r="F46" i="9"/>
  <c r="H46" i="9" s="1"/>
  <c r="E46" i="9" s="1"/>
  <c r="Y45" i="9"/>
  <c r="G45" i="9"/>
  <c r="F45" i="9"/>
  <c r="H45" i="9" s="1"/>
  <c r="E45" i="9" s="1"/>
  <c r="Y44" i="9"/>
  <c r="G44" i="9"/>
  <c r="F44" i="9"/>
  <c r="H44" i="9" s="1"/>
  <c r="E44" i="9" s="1"/>
  <c r="Y43" i="9"/>
  <c r="G43" i="9"/>
  <c r="H43" i="9" s="1"/>
  <c r="E43" i="9" s="1"/>
  <c r="F43" i="9"/>
  <c r="Y42" i="9"/>
  <c r="G42" i="9"/>
  <c r="F42" i="9"/>
  <c r="H42" i="9" s="1"/>
  <c r="E42" i="9" s="1"/>
  <c r="Y41" i="9"/>
  <c r="G41" i="9"/>
  <c r="F41" i="9"/>
  <c r="H41" i="9" s="1"/>
  <c r="E41" i="9" s="1"/>
  <c r="Y40" i="9"/>
  <c r="G40" i="9"/>
  <c r="H40" i="9" s="1"/>
  <c r="E40" i="9" s="1"/>
  <c r="F40" i="9"/>
  <c r="Y39" i="9"/>
  <c r="G39" i="9"/>
  <c r="F39" i="9"/>
  <c r="H39" i="9" s="1"/>
  <c r="E39" i="9" s="1"/>
  <c r="Y38" i="9"/>
  <c r="H38" i="9"/>
  <c r="E38" i="9" s="1"/>
  <c r="G38" i="9"/>
  <c r="F38" i="9"/>
  <c r="Y37" i="9"/>
  <c r="H37" i="9"/>
  <c r="G37" i="9"/>
  <c r="F37" i="9"/>
  <c r="E37" i="9"/>
  <c r="Y36" i="9"/>
  <c r="G36" i="9"/>
  <c r="F36" i="9"/>
  <c r="H36" i="9" s="1"/>
  <c r="E36" i="9" s="1"/>
  <c r="Y35" i="9"/>
  <c r="H35" i="9"/>
  <c r="E35" i="9" s="1"/>
  <c r="G35" i="9"/>
  <c r="F35" i="9"/>
  <c r="Y34" i="9"/>
  <c r="G34" i="9"/>
  <c r="F34" i="9"/>
  <c r="H34" i="9" s="1"/>
  <c r="E34" i="9" s="1"/>
  <c r="Y33" i="9"/>
  <c r="G33" i="9"/>
  <c r="F33" i="9"/>
  <c r="H33" i="9" s="1"/>
  <c r="E33" i="9" s="1"/>
  <c r="Y32" i="9"/>
  <c r="G32" i="9"/>
  <c r="F32" i="9"/>
  <c r="H32" i="9" s="1"/>
  <c r="E32" i="9" s="1"/>
  <c r="Y31" i="9"/>
  <c r="G31" i="9"/>
  <c r="H31" i="9" s="1"/>
  <c r="E31" i="9" s="1"/>
  <c r="F31" i="9"/>
  <c r="Y30" i="9"/>
  <c r="G30" i="9"/>
  <c r="F30" i="9"/>
  <c r="H30" i="9" s="1"/>
  <c r="E30" i="9" s="1"/>
  <c r="Y29" i="9"/>
  <c r="G29" i="9"/>
  <c r="F29" i="9"/>
  <c r="H29" i="9" s="1"/>
  <c r="E29" i="9" s="1"/>
  <c r="Y28" i="9"/>
  <c r="G28" i="9"/>
  <c r="H28" i="9" s="1"/>
  <c r="E28" i="9" s="1"/>
  <c r="F28" i="9"/>
  <c r="Y27" i="9"/>
  <c r="G27" i="9"/>
  <c r="F27" i="9"/>
  <c r="H27" i="9" s="1"/>
  <c r="E27" i="9" s="1"/>
  <c r="Y26" i="9"/>
  <c r="H26" i="9"/>
  <c r="E26" i="9" s="1"/>
  <c r="G26" i="9"/>
  <c r="F26" i="9"/>
  <c r="Y25" i="9"/>
  <c r="H25" i="9"/>
  <c r="G25" i="9"/>
  <c r="F25" i="9"/>
  <c r="E25" i="9"/>
  <c r="Y24" i="9"/>
  <c r="G24" i="9"/>
  <c r="F24" i="9"/>
  <c r="H24" i="9" s="1"/>
  <c r="E24" i="9" s="1"/>
  <c r="Y23" i="9"/>
  <c r="H23" i="9"/>
  <c r="E23" i="9" s="1"/>
  <c r="G23" i="9"/>
  <c r="F23" i="9"/>
  <c r="Y22" i="9"/>
  <c r="G22" i="9"/>
  <c r="F22" i="9"/>
  <c r="H22" i="9" s="1"/>
  <c r="E22" i="9" s="1"/>
  <c r="Y21" i="9"/>
  <c r="G21" i="9"/>
  <c r="F21" i="9"/>
  <c r="H21" i="9" s="1"/>
  <c r="E21" i="9" s="1"/>
  <c r="Y20" i="9"/>
  <c r="G20" i="9"/>
  <c r="F20" i="9"/>
  <c r="H20" i="9" s="1"/>
  <c r="E20" i="9" s="1"/>
  <c r="Y19" i="9"/>
  <c r="G19" i="9"/>
  <c r="H19" i="9" s="1"/>
  <c r="E19" i="9" s="1"/>
  <c r="F19" i="9"/>
  <c r="Y18" i="9"/>
  <c r="G18" i="9"/>
  <c r="F18" i="9"/>
  <c r="H18" i="9" s="1"/>
  <c r="E18" i="9" s="1"/>
  <c r="Y17" i="9"/>
  <c r="G17" i="9"/>
  <c r="F17" i="9"/>
  <c r="H17" i="9" s="1"/>
  <c r="E17" i="9" s="1"/>
  <c r="Y16" i="9"/>
  <c r="G16" i="9"/>
  <c r="H16" i="9" s="1"/>
  <c r="E16" i="9" s="1"/>
  <c r="F16" i="9"/>
  <c r="Y15" i="9"/>
  <c r="G15" i="9"/>
  <c r="F15" i="9"/>
  <c r="H15" i="9" s="1"/>
  <c r="E15" i="9" s="1"/>
  <c r="Y14" i="9"/>
  <c r="H14" i="9"/>
  <c r="E14" i="9" s="1"/>
  <c r="G14" i="9"/>
  <c r="F14" i="9"/>
  <c r="Y13" i="9"/>
  <c r="H13" i="9"/>
  <c r="G13" i="9"/>
  <c r="F13" i="9"/>
  <c r="E13" i="9"/>
  <c r="Y12" i="9"/>
  <c r="G12" i="9"/>
  <c r="F12" i="9"/>
  <c r="H12" i="9" s="1"/>
  <c r="E12" i="9" s="1"/>
  <c r="Y11" i="9"/>
  <c r="H11" i="9"/>
  <c r="E11" i="9" s="1"/>
  <c r="G11" i="9"/>
  <c r="F11" i="9"/>
  <c r="Y10" i="9"/>
  <c r="G10" i="9"/>
  <c r="F10" i="9"/>
  <c r="H10" i="9" s="1"/>
  <c r="E10" i="9" s="1"/>
  <c r="Y9" i="9"/>
  <c r="G9" i="9"/>
  <c r="F9" i="9"/>
  <c r="H9" i="9" s="1"/>
  <c r="E9" i="9" s="1"/>
  <c r="Y8" i="9"/>
  <c r="G8" i="9"/>
  <c r="F8" i="9"/>
  <c r="H8" i="9" s="1"/>
  <c r="E8" i="9" s="1"/>
  <c r="Y7" i="9"/>
  <c r="G7" i="9"/>
  <c r="H7" i="9" s="1"/>
  <c r="E7" i="9" s="1"/>
  <c r="F7" i="9"/>
  <c r="Y6" i="9"/>
  <c r="G6" i="9"/>
  <c r="F6" i="9"/>
  <c r="H6" i="9" s="1"/>
  <c r="E6" i="9" s="1"/>
  <c r="Y5" i="9"/>
  <c r="G5" i="9"/>
  <c r="F5" i="9"/>
  <c r="H5" i="9" s="1"/>
  <c r="E5" i="9" s="1"/>
  <c r="Y4" i="9"/>
  <c r="G4" i="9"/>
  <c r="H4" i="9" s="1"/>
  <c r="E4" i="9" s="1"/>
  <c r="F4" i="9"/>
  <c r="Y3" i="9"/>
  <c r="G3" i="9"/>
  <c r="F3" i="9"/>
  <c r="H3" i="9" s="1"/>
  <c r="E3" i="9" s="1"/>
  <c r="Y2" i="9"/>
  <c r="H2" i="9"/>
  <c r="E2" i="9" s="1"/>
  <c r="G2" i="9"/>
  <c r="F2" i="9"/>
  <c r="U51" i="8"/>
  <c r="H51" i="8"/>
  <c r="G51" i="8"/>
  <c r="F51" i="8"/>
  <c r="E51" i="8"/>
  <c r="U50" i="8"/>
  <c r="G50" i="8"/>
  <c r="F50" i="8"/>
  <c r="H50" i="8" s="1"/>
  <c r="E50" i="8" s="1"/>
  <c r="U49" i="8"/>
  <c r="H49" i="8"/>
  <c r="E49" i="8" s="1"/>
  <c r="G49" i="8"/>
  <c r="F49" i="8"/>
  <c r="U48" i="8"/>
  <c r="G48" i="8"/>
  <c r="F48" i="8"/>
  <c r="H48" i="8" s="1"/>
  <c r="E48" i="8" s="1"/>
  <c r="U47" i="8"/>
  <c r="G47" i="8"/>
  <c r="F47" i="8"/>
  <c r="H47" i="8" s="1"/>
  <c r="E47" i="8" s="1"/>
  <c r="U46" i="8"/>
  <c r="G46" i="8"/>
  <c r="F46" i="8"/>
  <c r="H46" i="8" s="1"/>
  <c r="E46" i="8" s="1"/>
  <c r="U45" i="8"/>
  <c r="G45" i="8"/>
  <c r="H45" i="8" s="1"/>
  <c r="E45" i="8" s="1"/>
  <c r="F45" i="8"/>
  <c r="U44" i="8"/>
  <c r="G44" i="8"/>
  <c r="F44" i="8"/>
  <c r="H44" i="8" s="1"/>
  <c r="E44" i="8" s="1"/>
  <c r="U43" i="8"/>
  <c r="G43" i="8"/>
  <c r="F43" i="8"/>
  <c r="H43" i="8" s="1"/>
  <c r="E43" i="8" s="1"/>
  <c r="U42" i="8"/>
  <c r="G42" i="8"/>
  <c r="H42" i="8" s="1"/>
  <c r="E42" i="8" s="1"/>
  <c r="F42" i="8"/>
  <c r="U41" i="8"/>
  <c r="G41" i="8"/>
  <c r="F41" i="8"/>
  <c r="H41" i="8" s="1"/>
  <c r="E41" i="8" s="1"/>
  <c r="U40" i="8"/>
  <c r="H40" i="8"/>
  <c r="E40" i="8" s="1"/>
  <c r="G40" i="8"/>
  <c r="F40" i="8"/>
  <c r="U39" i="8"/>
  <c r="H39" i="8"/>
  <c r="G39" i="8"/>
  <c r="F39" i="8"/>
  <c r="E39" i="8"/>
  <c r="U38" i="8"/>
  <c r="G38" i="8"/>
  <c r="F38" i="8"/>
  <c r="H38" i="8" s="1"/>
  <c r="E38" i="8" s="1"/>
  <c r="U37" i="8"/>
  <c r="H37" i="8"/>
  <c r="E37" i="8" s="1"/>
  <c r="G37" i="8"/>
  <c r="F37" i="8"/>
  <c r="U36" i="8"/>
  <c r="G36" i="8"/>
  <c r="F36" i="8"/>
  <c r="H36" i="8" s="1"/>
  <c r="E36" i="8" s="1"/>
  <c r="U35" i="8"/>
  <c r="G35" i="8"/>
  <c r="F35" i="8"/>
  <c r="H35" i="8" s="1"/>
  <c r="E35" i="8" s="1"/>
  <c r="U34" i="8"/>
  <c r="G34" i="8"/>
  <c r="F34" i="8"/>
  <c r="H34" i="8" s="1"/>
  <c r="E34" i="8" s="1"/>
  <c r="U33" i="8"/>
  <c r="G33" i="8"/>
  <c r="H33" i="8" s="1"/>
  <c r="E33" i="8" s="1"/>
  <c r="F33" i="8"/>
  <c r="U32" i="8"/>
  <c r="G32" i="8"/>
  <c r="F32" i="8"/>
  <c r="H32" i="8" s="1"/>
  <c r="E32" i="8" s="1"/>
  <c r="U31" i="8"/>
  <c r="G31" i="8"/>
  <c r="F31" i="8"/>
  <c r="H31" i="8" s="1"/>
  <c r="E31" i="8" s="1"/>
  <c r="U30" i="8"/>
  <c r="G30" i="8"/>
  <c r="H30" i="8" s="1"/>
  <c r="E30" i="8" s="1"/>
  <c r="F30" i="8"/>
  <c r="U29" i="8"/>
  <c r="G29" i="8"/>
  <c r="F29" i="8"/>
  <c r="H29" i="8" s="1"/>
  <c r="E29" i="8" s="1"/>
  <c r="U28" i="8"/>
  <c r="H28" i="8"/>
  <c r="E28" i="8" s="1"/>
  <c r="G28" i="8"/>
  <c r="F28" i="8"/>
  <c r="U27" i="8"/>
  <c r="H27" i="8"/>
  <c r="G27" i="8"/>
  <c r="F27" i="8"/>
  <c r="E27" i="8"/>
  <c r="U26" i="8"/>
  <c r="G26" i="8"/>
  <c r="F26" i="8"/>
  <c r="H26" i="8" s="1"/>
  <c r="E26" i="8" s="1"/>
  <c r="U25" i="8"/>
  <c r="H25" i="8"/>
  <c r="E25" i="8" s="1"/>
  <c r="G25" i="8"/>
  <c r="F25" i="8"/>
  <c r="U24" i="8"/>
  <c r="G24" i="8"/>
  <c r="F24" i="8"/>
  <c r="H24" i="8" s="1"/>
  <c r="E24" i="8" s="1"/>
  <c r="U23" i="8"/>
  <c r="G23" i="8"/>
  <c r="F23" i="8"/>
  <c r="H23" i="8" s="1"/>
  <c r="E23" i="8" s="1"/>
  <c r="U22" i="8"/>
  <c r="G22" i="8"/>
  <c r="F22" i="8"/>
  <c r="H22" i="8" s="1"/>
  <c r="E22" i="8" s="1"/>
  <c r="U21" i="8"/>
  <c r="G21" i="8"/>
  <c r="H21" i="8" s="1"/>
  <c r="E21" i="8" s="1"/>
  <c r="F21" i="8"/>
  <c r="U20" i="8"/>
  <c r="G20" i="8"/>
  <c r="F20" i="8"/>
  <c r="H20" i="8" s="1"/>
  <c r="E20" i="8" s="1"/>
  <c r="U19" i="8"/>
  <c r="G19" i="8"/>
  <c r="F19" i="8"/>
  <c r="H19" i="8" s="1"/>
  <c r="E19" i="8" s="1"/>
  <c r="U18" i="8"/>
  <c r="G18" i="8"/>
  <c r="H18" i="8" s="1"/>
  <c r="E18" i="8" s="1"/>
  <c r="F18" i="8"/>
  <c r="U17" i="8"/>
  <c r="G17" i="8"/>
  <c r="F17" i="8"/>
  <c r="H17" i="8" s="1"/>
  <c r="E17" i="8" s="1"/>
  <c r="U16" i="8"/>
  <c r="H16" i="8"/>
  <c r="E16" i="8" s="1"/>
  <c r="G16" i="8"/>
  <c r="F16" i="8"/>
  <c r="U15" i="8"/>
  <c r="H15" i="8"/>
  <c r="G15" i="8"/>
  <c r="F15" i="8"/>
  <c r="E15" i="8"/>
  <c r="U14" i="8"/>
  <c r="G14" i="8"/>
  <c r="F14" i="8"/>
  <c r="H14" i="8" s="1"/>
  <c r="E14" i="8" s="1"/>
  <c r="U13" i="8"/>
  <c r="H13" i="8"/>
  <c r="E13" i="8" s="1"/>
  <c r="G13" i="8"/>
  <c r="F13" i="8"/>
  <c r="U12" i="8"/>
  <c r="G12" i="8"/>
  <c r="F12" i="8"/>
  <c r="H12" i="8" s="1"/>
  <c r="E12" i="8" s="1"/>
  <c r="U11" i="8"/>
  <c r="G11" i="8"/>
  <c r="F11" i="8"/>
  <c r="H11" i="8" s="1"/>
  <c r="E11" i="8" s="1"/>
  <c r="U10" i="8"/>
  <c r="G10" i="8"/>
  <c r="F10" i="8"/>
  <c r="H10" i="8" s="1"/>
  <c r="E10" i="8" s="1"/>
  <c r="U9" i="8"/>
  <c r="G9" i="8"/>
  <c r="H9" i="8" s="1"/>
  <c r="E9" i="8" s="1"/>
  <c r="F9" i="8"/>
  <c r="U8" i="8"/>
  <c r="G8" i="8"/>
  <c r="F8" i="8"/>
  <c r="H8" i="8" s="1"/>
  <c r="E8" i="8" s="1"/>
  <c r="U7" i="8"/>
  <c r="G7" i="8"/>
  <c r="F7" i="8"/>
  <c r="H7" i="8" s="1"/>
  <c r="E7" i="8" s="1"/>
  <c r="U6" i="8"/>
  <c r="G6" i="8"/>
  <c r="H6" i="8" s="1"/>
  <c r="E6" i="8" s="1"/>
  <c r="F6" i="8"/>
  <c r="U5" i="8"/>
  <c r="G5" i="8"/>
  <c r="F5" i="8"/>
  <c r="H5" i="8" s="1"/>
  <c r="E5" i="8" s="1"/>
  <c r="U4" i="8"/>
  <c r="H4" i="8"/>
  <c r="E4" i="8" s="1"/>
  <c r="G4" i="8"/>
  <c r="F4" i="8"/>
  <c r="U3" i="8"/>
  <c r="H3" i="8"/>
  <c r="G3" i="8"/>
  <c r="F3" i="8"/>
  <c r="E3" i="8"/>
  <c r="U2" i="8"/>
  <c r="G2" i="8"/>
  <c r="F2" i="8"/>
  <c r="H2" i="8" s="1"/>
  <c r="E2" i="8" s="1"/>
  <c r="H51" i="7"/>
  <c r="G51" i="7"/>
  <c r="F51" i="7"/>
  <c r="E51" i="7"/>
  <c r="H50" i="7"/>
  <c r="G50" i="7"/>
  <c r="F50" i="7"/>
  <c r="E50" i="7"/>
  <c r="H49" i="7"/>
  <c r="E49" i="7" s="1"/>
  <c r="G49" i="7"/>
  <c r="F49" i="7"/>
  <c r="H48" i="7"/>
  <c r="G48" i="7"/>
  <c r="F48" i="7"/>
  <c r="E48" i="7"/>
  <c r="H47" i="7"/>
  <c r="G47" i="7"/>
  <c r="F47" i="7"/>
  <c r="E47" i="7"/>
  <c r="H46" i="7"/>
  <c r="E46" i="7" s="1"/>
  <c r="G46" i="7"/>
  <c r="F46" i="7"/>
  <c r="H45" i="7"/>
  <c r="G45" i="7"/>
  <c r="F45" i="7"/>
  <c r="E45" i="7"/>
  <c r="H44" i="7"/>
  <c r="G44" i="7"/>
  <c r="F44" i="7"/>
  <c r="E44" i="7"/>
  <c r="H43" i="7"/>
  <c r="E43" i="7" s="1"/>
  <c r="G43" i="7"/>
  <c r="F43" i="7"/>
  <c r="H42" i="7"/>
  <c r="G42" i="7"/>
  <c r="F42" i="7"/>
  <c r="E42" i="7"/>
  <c r="H41" i="7"/>
  <c r="G41" i="7"/>
  <c r="F41" i="7"/>
  <c r="E41" i="7"/>
  <c r="H40" i="7"/>
  <c r="E40" i="7" s="1"/>
  <c r="G40" i="7"/>
  <c r="F40" i="7"/>
  <c r="H39" i="7"/>
  <c r="G39" i="7"/>
  <c r="F39" i="7"/>
  <c r="E39" i="7"/>
  <c r="H38" i="7"/>
  <c r="G38" i="7"/>
  <c r="F38" i="7"/>
  <c r="E38" i="7"/>
  <c r="H37" i="7"/>
  <c r="E37" i="7" s="1"/>
  <c r="G37" i="7"/>
  <c r="F37" i="7"/>
  <c r="H36" i="7"/>
  <c r="G36" i="7"/>
  <c r="F36" i="7"/>
  <c r="E36" i="7"/>
  <c r="H35" i="7"/>
  <c r="G35" i="7"/>
  <c r="F35" i="7"/>
  <c r="E35" i="7"/>
  <c r="H34" i="7"/>
  <c r="E34" i="7" s="1"/>
  <c r="G34" i="7"/>
  <c r="F34" i="7"/>
  <c r="H33" i="7"/>
  <c r="G33" i="7"/>
  <c r="F33" i="7"/>
  <c r="E33" i="7"/>
  <c r="H32" i="7"/>
  <c r="G32" i="7"/>
  <c r="F32" i="7"/>
  <c r="E32" i="7"/>
  <c r="H31" i="7"/>
  <c r="E31" i="7" s="1"/>
  <c r="G31" i="7"/>
  <c r="F31" i="7"/>
  <c r="H30" i="7"/>
  <c r="G30" i="7"/>
  <c r="F30" i="7"/>
  <c r="E30" i="7"/>
  <c r="H29" i="7"/>
  <c r="G29" i="7"/>
  <c r="F29" i="7"/>
  <c r="E29" i="7"/>
  <c r="H28" i="7"/>
  <c r="E28" i="7" s="1"/>
  <c r="G28" i="7"/>
  <c r="F28" i="7"/>
  <c r="H27" i="7"/>
  <c r="G27" i="7"/>
  <c r="F27" i="7"/>
  <c r="E27" i="7"/>
  <c r="H26" i="7"/>
  <c r="G26" i="7"/>
  <c r="F26" i="7"/>
  <c r="E26" i="7"/>
  <c r="H25" i="7"/>
  <c r="E25" i="7" s="1"/>
  <c r="G25" i="7"/>
  <c r="F25" i="7"/>
  <c r="H24" i="7"/>
  <c r="G24" i="7"/>
  <c r="F24" i="7"/>
  <c r="E24" i="7"/>
  <c r="H23" i="7"/>
  <c r="G23" i="7"/>
  <c r="F23" i="7"/>
  <c r="E23" i="7"/>
  <c r="H22" i="7"/>
  <c r="E22" i="7" s="1"/>
  <c r="G22" i="7"/>
  <c r="F22" i="7"/>
  <c r="H21" i="7"/>
  <c r="G21" i="7"/>
  <c r="F21" i="7"/>
  <c r="E21" i="7"/>
  <c r="H20" i="7"/>
  <c r="G20" i="7"/>
  <c r="F20" i="7"/>
  <c r="E20" i="7"/>
  <c r="H19" i="7"/>
  <c r="E19" i="7" s="1"/>
  <c r="G19" i="7"/>
  <c r="F19" i="7"/>
  <c r="H18" i="7"/>
  <c r="G18" i="7"/>
  <c r="F18" i="7"/>
  <c r="E18" i="7"/>
  <c r="H17" i="7"/>
  <c r="G17" i="7"/>
  <c r="F17" i="7"/>
  <c r="E17" i="7"/>
  <c r="H16" i="7"/>
  <c r="E16" i="7" s="1"/>
  <c r="G16" i="7"/>
  <c r="F16" i="7"/>
  <c r="H15" i="7"/>
  <c r="G15" i="7"/>
  <c r="F15" i="7"/>
  <c r="E15" i="7"/>
  <c r="H14" i="7"/>
  <c r="G14" i="7"/>
  <c r="F14" i="7"/>
  <c r="E14" i="7"/>
  <c r="H13" i="7"/>
  <c r="E13" i="7" s="1"/>
  <c r="G13" i="7"/>
  <c r="F13" i="7"/>
  <c r="H12" i="7"/>
  <c r="G12" i="7"/>
  <c r="F12" i="7"/>
  <c r="E12" i="7"/>
  <c r="H11" i="7"/>
  <c r="G11" i="7"/>
  <c r="F11" i="7"/>
  <c r="E11" i="7"/>
  <c r="H10" i="7"/>
  <c r="E10" i="7" s="1"/>
  <c r="G10" i="7"/>
  <c r="F10" i="7"/>
  <c r="H9" i="7"/>
  <c r="G9" i="7"/>
  <c r="F9" i="7"/>
  <c r="E9" i="7"/>
  <c r="H8" i="7"/>
  <c r="G8" i="7"/>
  <c r="F8" i="7"/>
  <c r="E8" i="7"/>
  <c r="H7" i="7"/>
  <c r="E7" i="7" s="1"/>
  <c r="G7" i="7"/>
  <c r="F7" i="7"/>
  <c r="H6" i="7"/>
  <c r="G6" i="7"/>
  <c r="F6" i="7"/>
  <c r="E6" i="7"/>
  <c r="H5" i="7"/>
  <c r="G5" i="7"/>
  <c r="F5" i="7"/>
  <c r="E5" i="7"/>
  <c r="H4" i="7"/>
  <c r="E4" i="7" s="1"/>
  <c r="G4" i="7"/>
  <c r="F4" i="7"/>
  <c r="H3" i="7"/>
  <c r="G3" i="7"/>
  <c r="F3" i="7"/>
  <c r="E3" i="7"/>
  <c r="H2" i="7"/>
  <c r="G2" i="7"/>
  <c r="F2" i="7"/>
  <c r="E2" i="7"/>
</calcChain>
</file>

<file path=xl/sharedStrings.xml><?xml version="1.0" encoding="utf-8"?>
<sst xmlns="http://schemas.openxmlformats.org/spreadsheetml/2006/main" count="932" uniqueCount="390">
  <si>
    <t>Finding ID</t>
  </si>
  <si>
    <t>Finding Title</t>
  </si>
  <si>
    <t>Finding Description</t>
  </si>
  <si>
    <t>Risk State (Inherent / Residual)</t>
  </si>
  <si>
    <t>Severity Rating</t>
  </si>
  <si>
    <t>Impact Subscore</t>
  </si>
  <si>
    <t>Exploitability Subscore</t>
  </si>
  <si>
    <t>Final Numeric Score</t>
  </si>
  <si>
    <t>Damage</t>
  </si>
  <si>
    <t>Damage Justification</t>
  </si>
  <si>
    <t>Reproducibility</t>
  </si>
  <si>
    <t>Reproducibility Justification</t>
  </si>
  <si>
    <t>Exploitability</t>
  </si>
  <si>
    <t>Exploitability Justification</t>
  </si>
  <si>
    <t>Affected Users</t>
  </si>
  <si>
    <t>Affected Users Justification</t>
  </si>
  <si>
    <t>Discoverability</t>
  </si>
  <si>
    <t>Discoverability Justification</t>
  </si>
  <si>
    <t>EX-001</t>
  </si>
  <si>
    <t>SQL Injection in Search Endpoint</t>
  </si>
  <si>
    <t>The public search endpoint concatenates user-controlled input into a database query, allowing crafted input to alter SQL execution.</t>
  </si>
  <si>
    <t>Inherent</t>
  </si>
  <si>
    <t>Major impact; significant data exposure, integrity loss, or service disruption</t>
  </si>
  <si>
    <t>Successful injection could expose or modify sensitive application data.</t>
  </si>
  <si>
    <t>Consistently reproducible or easily automated</t>
  </si>
  <si>
    <t>The vulnerable query is reached consistently with attacker-controlled input.</t>
  </si>
  <si>
    <t>Trivial to exploit or readily automated with common tools</t>
  </si>
  <si>
    <t>SQL injection payloads and automated tooling are widely available.</t>
  </si>
  <si>
    <t>A large or significant subset of users affected</t>
  </si>
  <si>
    <t>Compromise of the shared application database could affect a significant portion of users.</t>
  </si>
  <si>
    <t>Easily discoverable with commonly available security tools or documentation</t>
  </si>
  <si>
    <t>Routine application security testing can identify the injectable parameter.</t>
  </si>
  <si>
    <t>Residual</t>
  </si>
  <si>
    <t>Moderate impact; sensitive data or important functionality affected</t>
  </si>
  <si>
    <t>Database permissions have been reduced so the application account can access only the data required by the search function.</t>
  </si>
  <si>
    <t>Reproducible with specific conditions, timing, or preparation</t>
  </si>
  <si>
    <t>A tuned WAF blocks known injection patterns; successful exploitation requires a bypass that still reaches the vulnerable query.</t>
  </si>
  <si>
    <t>Requires advanced technical skill or significant preparation</t>
  </si>
  <si>
    <t>The WAF materially raises the skill and preparation required, although the underlying injection defect remains.</t>
  </si>
  <si>
    <t>A limited subset of users affected</t>
  </si>
  <si>
    <t>Least-privilege database permissions limit the records reachable through the affected application account.</t>
  </si>
  <si>
    <t>Discoverable through targeted security testing or analysis</t>
  </si>
  <si>
    <t>The vulnerable parameter remains discoverable, but confirming an exploitable bypass requires targeted testing.</t>
  </si>
  <si>
    <t>EX-002</t>
  </si>
  <si>
    <t>Stored Cross-Site Scripting in Comments</t>
  </si>
  <si>
    <t>User-supplied comments are stored and rendered without reliable output encoding, allowing attacker-controlled JavaScript to execute in other users' browsers.</t>
  </si>
  <si>
    <t>Successful exploitation can execute script in other users' authenticated browser sessions.</t>
  </si>
  <si>
    <t>Reliably reproducible with normal attacker preparation</t>
  </si>
  <si>
    <t>Once a payload is stored, viewing the affected comment reliably triggers execution.</t>
  </si>
  <si>
    <t>Requires moderate skill using commonly available tools or techniques</t>
  </si>
  <si>
    <t>Crafting a stored XSS payload requires modest web-security knowledge but no specialized tooling.</t>
  </si>
  <si>
    <t>Only users who view the malicious comment are directly affected.</t>
  </si>
  <si>
    <t>Targeted testing of stored user content can identify the missing output encoding.</t>
  </si>
  <si>
    <t>Minor impact; limited data, functionality, or business disruption</t>
  </si>
  <si>
    <t>A Content Security Policy restricts executable script sources and reduces the impact of successful injection.</t>
  </si>
  <si>
    <t>Reproducible only under rare or highly specific conditions</t>
  </si>
  <si>
    <t>Context-aware output encoding is now applied; reproduction requires finding an unencoded rendering path.</t>
  </si>
  <si>
    <t>Requires highly specialized expertise, custom tooling, or extensive resources</t>
  </si>
  <si>
    <t>Exploitation now requires bypassing both context-aware output encoding and the Content Security Policy.</t>
  </si>
  <si>
    <t>One or a very small number of users affected</t>
  </si>
  <si>
    <t>The remaining exposure is limited to uncommon rendering paths used by a small set of users.</t>
  </si>
  <si>
    <t>Requires specialized knowledge, source access, or extensive investigation</t>
  </si>
  <si>
    <t>Finding a remaining exploitable rendering path requires specialized analysis.</t>
  </si>
  <si>
    <t>Access Vector (AV)</t>
  </si>
  <si>
    <t>AV Justification</t>
  </si>
  <si>
    <t>Access Complexity (AC)</t>
  </si>
  <si>
    <t>AC Justification</t>
  </si>
  <si>
    <t>Authentication (Au)</t>
  </si>
  <si>
    <t>Au Justification</t>
  </si>
  <si>
    <t>Confidentiality (C)</t>
  </si>
  <si>
    <t>C Justification</t>
  </si>
  <si>
    <t>Integrity (I)</t>
  </si>
  <si>
    <t>I Justification</t>
  </si>
  <si>
    <t>Availability (A)</t>
  </si>
  <si>
    <t>A Justification</t>
  </si>
  <si>
    <t>Vector</t>
  </si>
  <si>
    <t>Network (N)</t>
  </si>
  <si>
    <t>The vulnerable endpoint is remotely reachable over the network.</t>
  </si>
  <si>
    <t>Low (L)</t>
  </si>
  <si>
    <t>No special access conditions are required to submit crafted input.</t>
  </si>
  <si>
    <t>None (N)</t>
  </si>
  <si>
    <t>The search endpoint is accessible without authentication.</t>
  </si>
  <si>
    <t>Complete (C)</t>
  </si>
  <si>
    <t>Successful injection could disclose database contents accessible to the application account.</t>
  </si>
  <si>
    <t>Successful injection could modify data accessible to the application account.</t>
  </si>
  <si>
    <t>Partial (P)</t>
  </si>
  <si>
    <t>Abusive queries could degrade database-backed application functionality.</t>
  </si>
  <si>
    <t>Base metric unchanged: the vulnerable endpoint remains remotely reachable.</t>
  </si>
  <si>
    <t>Base metric unchanged: compensating controls do not change the vulnerability's intrinsic access complexity.</t>
  </si>
  <si>
    <t>Base metric unchanged: the vulnerable endpoint still requires no authentication.</t>
  </si>
  <si>
    <t>Base metric unchanged: CVSS Base reflects the vulnerability rather than compensating controls.</t>
  </si>
  <si>
    <t>An attacker can submit a stored payload through the network-accessible application.</t>
  </si>
  <si>
    <t>No unusual conditions are required to store a malicious comment.</t>
  </si>
  <si>
    <t>Single (S)</t>
  </si>
  <si>
    <t>An account is required to submit a stored comment.</t>
  </si>
  <si>
    <t>Script execution can expose information available to the victim's browser session.</t>
  </si>
  <si>
    <t>Script execution can perform actions with the victim's browser privileges.</t>
  </si>
  <si>
    <t>The primary effect is confidentiality/integrity rather than service availability.</t>
  </si>
  <si>
    <t>Base metric unchanged: the application remains network accessible.</t>
  </si>
  <si>
    <t>Base metric unchanged: compensating controls are not represented in CVSS Base metrics.</t>
  </si>
  <si>
    <t>Base metric unchanged: an account is still required to submit a comment.</t>
  </si>
  <si>
    <t>Base metric unchanged: CVSS Base reflects intrinsic vulnerability impact.</t>
  </si>
  <si>
    <t>Base metric unchanged.</t>
  </si>
  <si>
    <t>Attack Vector (AV)</t>
  </si>
  <si>
    <t>Attack Complexity (AC)</t>
  </si>
  <si>
    <t>Privileges Required (PR)</t>
  </si>
  <si>
    <t>PR Justification</t>
  </si>
  <si>
    <t>User Interaction (UI)</t>
  </si>
  <si>
    <t>UI Justification</t>
  </si>
  <si>
    <t>Scope (S)</t>
  </si>
  <si>
    <t>Scope Justification</t>
  </si>
  <si>
    <t>The vulnerable endpoint is remotely reachable.</t>
  </si>
  <si>
    <t>No special conditions are required for exploitation.</t>
  </si>
  <si>
    <t>No privileges are required to reach the vulnerable search endpoint.</t>
  </si>
  <si>
    <t>No victim interaction is required.</t>
  </si>
  <si>
    <t>Unchanged (U)</t>
  </si>
  <si>
    <t>The vulnerable application and impacted database resources remain within the same security authority.</t>
  </si>
  <si>
    <t>High (H)</t>
  </si>
  <si>
    <t>Successful exploitation could expose sensitive database data.</t>
  </si>
  <si>
    <t>Successful exploitation could modify application data.</t>
  </si>
  <si>
    <t>Abusive queries could cause limited disruption to database-backed functionality.</t>
  </si>
  <si>
    <t>Base metric unchanged: WAF and least privilege are compensating controls, not Base metrics.</t>
  </si>
  <si>
    <t>Base metric unchanged: no application privileges are required.</t>
  </si>
  <si>
    <t>Base metric unchanged: no victim interaction is required.</t>
  </si>
  <si>
    <t>Base metric unchanged: CVSS Base does not measure the effectiveness of the compensating controls.</t>
  </si>
  <si>
    <t>The attacker submits the stored payload through the network-accessible application.</t>
  </si>
  <si>
    <t>No special exploitation conditions are required.</t>
  </si>
  <si>
    <t>A normal authenticated account is required to submit a comment.</t>
  </si>
  <si>
    <t>Required (R)</t>
  </si>
  <si>
    <t>Another user must view the stored comment for script execution to occur.</t>
  </si>
  <si>
    <t>Changed (C)</t>
  </si>
  <si>
    <t>The vulnerable application causes code to execute in another user's browser security context.</t>
  </si>
  <si>
    <t>The attacker may access information available to the victim's browser context.</t>
  </si>
  <si>
    <t>The attacker may perform actions available to the victim's browser context.</t>
  </si>
  <si>
    <t>The vulnerability does not directly affect service availability.</t>
  </si>
  <si>
    <t>Base metric unchanged: output encoding and CSP are compensating controls rather than Base metrics.</t>
  </si>
  <si>
    <t>Base metric unchanged: a normal authenticated account is still required.</t>
  </si>
  <si>
    <t>Base metric unchanged: a victim must still render the stored content.</t>
  </si>
  <si>
    <t>Base metric unchanged: CVSS Base reflects intrinsic impact.</t>
  </si>
  <si>
    <t>Likelihood Subscore</t>
  </si>
  <si>
    <t>Final Risk Rating</t>
  </si>
  <si>
    <t>Skill Level</t>
  </si>
  <si>
    <t>Skill Justification</t>
  </si>
  <si>
    <t>Motive</t>
  </si>
  <si>
    <t>Motive Justification</t>
  </si>
  <si>
    <t>Opportunity</t>
  </si>
  <si>
    <t>Opportunity Justification</t>
  </si>
  <si>
    <t>Threat Agent Size</t>
  </si>
  <si>
    <t>Size Justification</t>
  </si>
  <si>
    <t>Ease of Discovery</t>
  </si>
  <si>
    <t>Discovery Justification</t>
  </si>
  <si>
    <t>Ease of Exploit</t>
  </si>
  <si>
    <t>Exploit Justification</t>
  </si>
  <si>
    <t>Awareness</t>
  </si>
  <si>
    <t>Awareness Justification</t>
  </si>
  <si>
    <t>Intrusion Detection</t>
  </si>
  <si>
    <t>Detection Justification</t>
  </si>
  <si>
    <t>Loss of Confidentiality</t>
  </si>
  <si>
    <t>Confidentiality Justification</t>
  </si>
  <si>
    <t>Loss of Integrity</t>
  </si>
  <si>
    <t>Integrity Justification</t>
  </si>
  <si>
    <t>Loss of Availability</t>
  </si>
  <si>
    <t>Availability Justification</t>
  </si>
  <si>
    <t>Loss of Accountability</t>
  </si>
  <si>
    <t>Accountability Justification</t>
  </si>
  <si>
    <t>Financial Damage</t>
  </si>
  <si>
    <t>Financial Justification</t>
  </si>
  <si>
    <t>Reputation Damage</t>
  </si>
  <si>
    <t>Reputation Justification</t>
  </si>
  <si>
    <t>Non-compliance</t>
  </si>
  <si>
    <t>Non-compliance Justification</t>
  </si>
  <si>
    <t>Privacy Violation</t>
  </si>
  <si>
    <t>Privacy Justification</t>
  </si>
  <si>
    <t>Technical Impact</t>
  </si>
  <si>
    <t>Business Impact</t>
  </si>
  <si>
    <t>Impact Used</t>
  </si>
  <si>
    <t>Network and programming skills</t>
  </si>
  <si>
    <t>Exploitation requires understanding HTTP requests and SQL injection syntax.</t>
  </si>
  <si>
    <t>High reward</t>
  </si>
  <si>
    <t>Database access may expose sensitive information or enable unauthorized modification.</t>
  </si>
  <si>
    <t>No access or resources required</t>
  </si>
  <si>
    <t>The endpoint is Internet accessible and requires no special resources.</t>
  </si>
  <si>
    <t>Anonymous Internet users</t>
  </si>
  <si>
    <t>The vulnerable search endpoint is publicly accessible.</t>
  </si>
  <si>
    <t>Automated tools available</t>
  </si>
  <si>
    <t>Automated scanners can identify common SQL injection behavior.</t>
  </si>
  <si>
    <t>Common tools can automate SQL injection exploitation.</t>
  </si>
  <si>
    <t>Obvious</t>
  </si>
  <si>
    <t>The vulnerable parameter is readily identifiable in normal application use.</t>
  </si>
  <si>
    <t>Not logged</t>
  </si>
  <si>
    <t>Application-level detection of injection attempts is not reliably implemented.</t>
  </si>
  <si>
    <t>Extensive critical data disclosed</t>
  </si>
  <si>
    <t>The application account can read substantial sensitive data.</t>
  </si>
  <si>
    <t>Extensive seriously corrupt data</t>
  </si>
  <si>
    <t>The application account can modify important records.</t>
  </si>
  <si>
    <t>Minimal primary services interrupted</t>
  </si>
  <si>
    <t>Heavy or destructive queries could interrupt important application functions.</t>
  </si>
  <si>
    <t>Possibly traceable</t>
  </si>
  <si>
    <t>Network and application records may permit attribution but are incomplete.</t>
  </si>
  <si>
    <t>Significant effect on annual profit</t>
  </si>
  <si>
    <t>A material breach could create substantial response and recovery costs.</t>
  </si>
  <si>
    <t>Loss of major accounts</t>
  </si>
  <si>
    <t>A significant data compromise could affect customer relationships.</t>
  </si>
  <si>
    <t>High-profile violation</t>
  </si>
  <si>
    <t>Exposure of regulated data could create significant compliance consequences.</t>
  </si>
  <si>
    <t>Thousands of people</t>
  </si>
  <si>
    <t>The shared database contains records for thousands of individuals.</t>
  </si>
  <si>
    <t>Security penetration skills</t>
  </si>
  <si>
    <t>A tuned WAF requires a more capable attacker to develop a successful bypass.</t>
  </si>
  <si>
    <t>The value of the underlying data has not changed.</t>
  </si>
  <si>
    <t>Special access or resources required</t>
  </si>
  <si>
    <t>Successful exploitation now requires bypassing WAF controls and operating within reduced database permissions.</t>
  </si>
  <si>
    <t>The endpoint remains publicly reachable.</t>
  </si>
  <si>
    <t>Difficult</t>
  </si>
  <si>
    <t>The defect remains present, but confirming an exploitable WAF bypass requires targeted testing.</t>
  </si>
  <si>
    <t>A working exploit must bypass tuned WAF rules.</t>
  </si>
  <si>
    <t>Hidden</t>
  </si>
  <si>
    <t>The WAF makes successful exploit paths less obvious during normal testing.</t>
  </si>
  <si>
    <t>Logged and reviewed</t>
  </si>
  <si>
    <t>WAF events are logged and reviewed, improving detection and response.</t>
  </si>
  <si>
    <t>Minimal critical data disclosed</t>
  </si>
  <si>
    <t>Least-privilege database permissions materially reduce accessible sensitive data.</t>
  </si>
  <si>
    <t>Minimal seriously corrupt data</t>
  </si>
  <si>
    <t>Database permissions limit the records and operations available to the application account.</t>
  </si>
  <si>
    <t>Minimal secondary services interrupted</t>
  </si>
  <si>
    <t>Controls limit the likely operational impact of abusive queries.</t>
  </si>
  <si>
    <t>Fully traceable</t>
  </si>
  <si>
    <t>WAF and application logging provide stronger request attribution.</t>
  </si>
  <si>
    <t>Minor effect on annual profit</t>
  </si>
  <si>
    <t>Reduced accessible data and improved detection lower the expected financial impact.</t>
  </si>
  <si>
    <t>Minimal damage</t>
  </si>
  <si>
    <t>Reduced scope and improved detection lower likely reputational harm.</t>
  </si>
  <si>
    <t>Minor violation</t>
  </si>
  <si>
    <t>Reduced accessible regulated data lowers likely compliance impact.</t>
  </si>
  <si>
    <t>Hundreds of people</t>
  </si>
  <si>
    <t>Least privilege limits the subset of records exposed through the affected account.</t>
  </si>
  <si>
    <t>Advanced computer user</t>
  </si>
  <si>
    <t>Basic web-security knowledge is sufficient to craft stored script payloads.</t>
  </si>
  <si>
    <t>Possible reward</t>
  </si>
  <si>
    <t>Session abuse or actions in another user's context may provide useful access.</t>
  </si>
  <si>
    <t>Some access or resources required</t>
  </si>
  <si>
    <t>A normal authenticated account is required to submit comments.</t>
  </si>
  <si>
    <t>Authenticated users</t>
  </si>
  <si>
    <t>Any authenticated user able to submit comments could attempt exploitation.</t>
  </si>
  <si>
    <t>Easy</t>
  </si>
  <si>
    <t>Stored content can be tested directly for script execution.</t>
  </si>
  <si>
    <t>Common browser scripting techniques are sufficient.</t>
  </si>
  <si>
    <t>The comment feature and rendered content are visible to users.</t>
  </si>
  <si>
    <t>Logged without review</t>
  </si>
  <si>
    <t>Comment activity is logged but not consistently reviewed for malicious content.</t>
  </si>
  <si>
    <t>A successful payload may expose data available in a victim's browser session.</t>
  </si>
  <si>
    <t>A successful payload may perform unauthorized actions as the victim.</t>
  </si>
  <si>
    <t>Availability impact is limited.</t>
  </si>
  <si>
    <t>The stored comment is associated with an authenticated account, though account misuse is possible.</t>
  </si>
  <si>
    <t>Expected direct financial impact is limited but non-trivial.</t>
  </si>
  <si>
    <t>Loss of goodwill</t>
  </si>
  <si>
    <t>Visible compromise of user sessions could damage user trust.</t>
  </si>
  <si>
    <t>Clear violation</t>
  </si>
  <si>
    <t>Depending on exposed data, the event could create clear security/privacy compliance concerns.</t>
  </si>
  <si>
    <t>A popular malicious comment could be viewed by hundreds of users.</t>
  </si>
  <si>
    <t>Bypassing context-aware output encoding and CSP requires substantially greater expertise.</t>
  </si>
  <si>
    <t>The potential attacker reward is unchanged.</t>
  </si>
  <si>
    <t>A remaining exploit requires an unencoded rendering path plus a CSP-compatible execution technique.</t>
  </si>
  <si>
    <t>The population able to submit comments is unchanged.</t>
  </si>
  <si>
    <t>Remaining exploitable rendering paths require targeted analysis.</t>
  </si>
  <si>
    <t>Successful exploitation requires bypassing multiple controls.</t>
  </si>
  <si>
    <t>The remaining attack path is not obvious after encoding fixes.</t>
  </si>
  <si>
    <t>Security-relevant CSP/WAF/application events are reviewed.</t>
  </si>
  <si>
    <t>Minimal non-sensitive data disclosed</t>
  </si>
  <si>
    <t>CSP and output encoding sharply reduce practical exposure.</t>
  </si>
  <si>
    <t>Minimal slightly corrupt data</t>
  </si>
  <si>
    <t>The remaining practical integrity impact is limited.</t>
  </si>
  <si>
    <t>Availability remains minimally affected.</t>
  </si>
  <si>
    <t>Authenticated submission and reviewed logs provide strong traceability.</t>
  </si>
  <si>
    <t>Less than cost to fix vulnerability</t>
  </si>
  <si>
    <t>The remaining expected financial impact is small.</t>
  </si>
  <si>
    <t>The remaining practical reputational impact is limited.</t>
  </si>
  <si>
    <t>The remaining exposure is limited.</t>
  </si>
  <si>
    <t>One individual</t>
  </si>
  <si>
    <t>A successful edge-case exploit is expected to affect a very small number of users.</t>
  </si>
  <si>
    <t>Risk Rating Model — Centralized Dropdown Data</t>
  </si>
  <si>
    <t>Risk_State</t>
  </si>
  <si>
    <t>Value</t>
  </si>
  <si>
    <t>Code</t>
  </si>
  <si>
    <t>DREAD_Damage</t>
  </si>
  <si>
    <t>No meaningful security impact</t>
  </si>
  <si>
    <t>0</t>
  </si>
  <si>
    <t>Critical impact; widespread compromise, catastrophic data loss, or complete service/system compromise</t>
  </si>
  <si>
    <t>10</t>
  </si>
  <si>
    <t>DREAD_Reproducibility</t>
  </si>
  <si>
    <t>Extremely difficult or unable to reproduce reliably</t>
  </si>
  <si>
    <t>DREAD_Exploitability</t>
  </si>
  <si>
    <t>Exploitation is impractical or requires extraordinary capability</t>
  </si>
  <si>
    <t>DREAD_AffectedUsers</t>
  </si>
  <si>
    <t>No users affected</t>
  </si>
  <si>
    <t>All or nearly all users affected</t>
  </si>
  <si>
    <t>DREAD_Discoverability</t>
  </si>
  <si>
    <t>Extremely difficult to discover, even with detailed analysis</t>
  </si>
  <si>
    <t>Obvious, publicly documented, or automatically discoverable</t>
  </si>
  <si>
    <t>CVSS2_AV</t>
  </si>
  <si>
    <t>Local (L)</t>
  </si>
  <si>
    <t>L</t>
  </si>
  <si>
    <t>Adjacent Network (A)</t>
  </si>
  <si>
    <t>A</t>
  </si>
  <si>
    <t>N</t>
  </si>
  <si>
    <t>CVSS2_AC</t>
  </si>
  <si>
    <t>H</t>
  </si>
  <si>
    <t>Medium (M)</t>
  </si>
  <si>
    <t>M</t>
  </si>
  <si>
    <t>CVSS2_Au</t>
  </si>
  <si>
    <t>Multiple (M)</t>
  </si>
  <si>
    <t>S</t>
  </si>
  <si>
    <t>CVSS2_C</t>
  </si>
  <si>
    <t>P</t>
  </si>
  <si>
    <t>C</t>
  </si>
  <si>
    <t>CVSS2_I</t>
  </si>
  <si>
    <t>CVSS2_A</t>
  </si>
  <si>
    <t>CVSS30_AV</t>
  </si>
  <si>
    <t>Adjacent (A)</t>
  </si>
  <si>
    <t>Physical (P)</t>
  </si>
  <si>
    <t>CVSS30_AC</t>
  </si>
  <si>
    <t>CVSS30_PR</t>
  </si>
  <si>
    <t>CVSS30_UI</t>
  </si>
  <si>
    <t>R</t>
  </si>
  <si>
    <t>CVSS30_S</t>
  </si>
  <si>
    <t>U</t>
  </si>
  <si>
    <t>CVSS30_C</t>
  </si>
  <si>
    <t>CVSS30_I</t>
  </si>
  <si>
    <t>CVSS30_A</t>
  </si>
  <si>
    <t>CVSS31_AV</t>
  </si>
  <si>
    <t>CVSS31_AC</t>
  </si>
  <si>
    <t>CVSS31_PR</t>
  </si>
  <si>
    <t>CVSS31_UI</t>
  </si>
  <si>
    <t>CVSS31_S</t>
  </si>
  <si>
    <t>CVSS31_C</t>
  </si>
  <si>
    <t>CVSS31_I</t>
  </si>
  <si>
    <t>CVSS31_A</t>
  </si>
  <si>
    <t>OWASP_Skill</t>
  </si>
  <si>
    <t>No technical skills</t>
  </si>
  <si>
    <t>Some technical skills</t>
  </si>
  <si>
    <t>OWASP_Motive</t>
  </si>
  <si>
    <t>Low or no reward</t>
  </si>
  <si>
    <t>OWASP_Opportunity</t>
  </si>
  <si>
    <t>Full access / expensive resources required</t>
  </si>
  <si>
    <t>OWASP_Size</t>
  </si>
  <si>
    <t>Developers</t>
  </si>
  <si>
    <t>System administrators</t>
  </si>
  <si>
    <t>Intranet users</t>
  </si>
  <si>
    <t>Partners</t>
  </si>
  <si>
    <t>OWASP_Discovery</t>
  </si>
  <si>
    <t>Practically impossible</t>
  </si>
  <si>
    <t>OWASP_Exploit</t>
  </si>
  <si>
    <t>Theoretical</t>
  </si>
  <si>
    <t>OWASP_Awareness</t>
  </si>
  <si>
    <t>Unknown</t>
  </si>
  <si>
    <t>Public knowledge</t>
  </si>
  <si>
    <t>OWASP_Detection</t>
  </si>
  <si>
    <t>Active detection in application</t>
  </si>
  <si>
    <t>OWASP_Confidentiality</t>
  </si>
  <si>
    <t>Extensive non-sensitive data disclosed</t>
  </si>
  <si>
    <t>All data disclosed</t>
  </si>
  <si>
    <t>OWASP_Integrity</t>
  </si>
  <si>
    <t>Extensive slightly corrupt data</t>
  </si>
  <si>
    <t>All data totally corrupt</t>
  </si>
  <si>
    <t>OWASP_Availability</t>
  </si>
  <si>
    <t>Extensive secondary services interrupted</t>
  </si>
  <si>
    <t>Extensive primary services interrupted</t>
  </si>
  <si>
    <t>All services completely lost</t>
  </si>
  <si>
    <t>OWASP_Accountability</t>
  </si>
  <si>
    <t>Completely anonymous</t>
  </si>
  <si>
    <t>OWASP_Financial</t>
  </si>
  <si>
    <t>Bankruptcy</t>
  </si>
  <si>
    <t>OWASP_Reputation</t>
  </si>
  <si>
    <t>Brand damage</t>
  </si>
  <si>
    <t>OWASP_NonCompliance</t>
  </si>
  <si>
    <t>OWASP_Privacy</t>
  </si>
  <si>
    <t>Millions of people</t>
  </si>
  <si>
    <t>Reference</t>
  </si>
  <si>
    <t>URL</t>
  </si>
  <si>
    <t>Notes</t>
  </si>
  <si>
    <t>CVSS v2</t>
  </si>
  <si>
    <t>https://www.first.org/cvss/v2/guide</t>
  </si>
  <si>
    <t>Base metric values and equations</t>
  </si>
  <si>
    <t>CVSS v3.0</t>
  </si>
  <si>
    <t>https://www.first.org/cvss/v3.0/specification-document</t>
  </si>
  <si>
    <t>CVSS v3.1</t>
  </si>
  <si>
    <t>https://www.first.org/cvss/v3-1/specification-document</t>
  </si>
  <si>
    <t>OWASP RRM</t>
  </si>
  <si>
    <t>https://owasp.org/www-community/OWASP_Risk_Rating_Methodology</t>
  </si>
  <si>
    <t>Likelihood, impact, and severity 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</si>
</sst>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73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DREAD_Ratings" displayName="DREAD_Ratings" ref="A1:R51" totalsRowShown="0">
  <tableColumns count="18">
    <tableColumn id="1" xr3:uid="{00000000-0010-0000-0000-000001000000}" name="Finding ID"/>
    <tableColumn id="2" xr3:uid="{00000000-0010-0000-0000-000002000000}" name="Finding Title"/>
    <tableColumn id="3" xr3:uid="{00000000-0010-0000-0000-000003000000}" name="Finding Description"/>
    <tableColumn id="4" xr3:uid="{00000000-0010-0000-0000-000004000000}" name="Risk State (Inherent / Residual)"/>
    <tableColumn id="5" xr3:uid="{00000000-0010-0000-0000-000005000000}" name="Severity Rating"/>
    <tableColumn id="6" xr3:uid="{00000000-0010-0000-0000-000006000000}" name="Impact Subscore"/>
    <tableColumn id="7" xr3:uid="{00000000-0010-0000-0000-000007000000}" name="Exploitability Subscore"/>
    <tableColumn id="8" xr3:uid="{00000000-0010-0000-0000-000008000000}" name="Final Numeric Score"/>
    <tableColumn id="9" xr3:uid="{00000000-0010-0000-0000-000009000000}" name="Damage"/>
    <tableColumn id="10" xr3:uid="{00000000-0010-0000-0000-00000A000000}" name="Damage Justification"/>
    <tableColumn id="11" xr3:uid="{00000000-0010-0000-0000-00000B000000}" name="Reproducibility"/>
    <tableColumn id="12" xr3:uid="{00000000-0010-0000-0000-00000C000000}" name="Reproducibility Justification"/>
    <tableColumn id="13" xr3:uid="{00000000-0010-0000-0000-00000D000000}" name="Exploitability"/>
    <tableColumn id="14" xr3:uid="{00000000-0010-0000-0000-00000E000000}" name="Exploitability Justification"/>
    <tableColumn id="15" xr3:uid="{00000000-0010-0000-0000-00000F000000}" name="Affected Users"/>
    <tableColumn id="16" xr3:uid="{00000000-0010-0000-0000-000010000000}" name="Affected Users Justification"/>
    <tableColumn id="17" xr3:uid="{00000000-0010-0000-0000-000011000000}" name="Discoverability"/>
    <tableColumn id="18" xr3:uid="{00000000-0010-0000-0000-000012000000}" name="Discoverability Just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CVSS2_Ratings" displayName="CVSS2_Ratings" ref="A1:U51" totalsRowShown="0">
  <tableColumns count="21">
    <tableColumn id="1" xr3:uid="{00000000-0010-0000-0100-000001000000}" name="Finding ID"/>
    <tableColumn id="2" xr3:uid="{00000000-0010-0000-0100-000002000000}" name="Finding Title"/>
    <tableColumn id="3" xr3:uid="{00000000-0010-0000-0100-000003000000}" name="Finding Description"/>
    <tableColumn id="4" xr3:uid="{00000000-0010-0000-0100-000004000000}" name="Risk State (Inherent / Residual)"/>
    <tableColumn id="5" xr3:uid="{00000000-0010-0000-0100-000005000000}" name="Severity Rating"/>
    <tableColumn id="6" xr3:uid="{00000000-0010-0000-0100-000006000000}" name="Impact Subscore"/>
    <tableColumn id="7" xr3:uid="{00000000-0010-0000-0100-000007000000}" name="Exploitability Subscore"/>
    <tableColumn id="8" xr3:uid="{00000000-0010-0000-0100-000008000000}" name="Final Numeric Score"/>
    <tableColumn id="9" xr3:uid="{00000000-0010-0000-0100-000009000000}" name="Access Vector (AV)"/>
    <tableColumn id="10" xr3:uid="{00000000-0010-0000-0100-00000A000000}" name="AV Justification"/>
    <tableColumn id="11" xr3:uid="{00000000-0010-0000-0100-00000B000000}" name="Access Complexity (AC)"/>
    <tableColumn id="12" xr3:uid="{00000000-0010-0000-0100-00000C000000}" name="AC Justification"/>
    <tableColumn id="13" xr3:uid="{00000000-0010-0000-0100-00000D000000}" name="Authentication (Au)"/>
    <tableColumn id="14" xr3:uid="{00000000-0010-0000-0100-00000E000000}" name="Au Justification"/>
    <tableColumn id="15" xr3:uid="{00000000-0010-0000-0100-00000F000000}" name="Confidentiality (C)"/>
    <tableColumn id="16" xr3:uid="{00000000-0010-0000-0100-000010000000}" name="C Justification"/>
    <tableColumn id="17" xr3:uid="{00000000-0010-0000-0100-000011000000}" name="Integrity (I)"/>
    <tableColumn id="18" xr3:uid="{00000000-0010-0000-0100-000012000000}" name="I Justification"/>
    <tableColumn id="19" xr3:uid="{00000000-0010-0000-0100-000013000000}" name="Availability (A)"/>
    <tableColumn id="20" xr3:uid="{00000000-0010-0000-0100-000014000000}" name="A Justification"/>
    <tableColumn id="21" xr3:uid="{00000000-0010-0000-0100-000015000000}" name="Ve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CVSS30_Ratings" displayName="CVSS30_Ratings" ref="A1:Y51" totalsRowShown="0">
  <tableColumns count="25">
    <tableColumn id="1" xr3:uid="{00000000-0010-0000-0200-000001000000}" name="Finding ID"/>
    <tableColumn id="2" xr3:uid="{00000000-0010-0000-0200-000002000000}" name="Finding Title"/>
    <tableColumn id="3" xr3:uid="{00000000-0010-0000-0200-000003000000}" name="Finding Description"/>
    <tableColumn id="4" xr3:uid="{00000000-0010-0000-0200-000004000000}" name="Risk State (Inherent / Residual)"/>
    <tableColumn id="5" xr3:uid="{00000000-0010-0000-0200-000005000000}" name="Severity Rating"/>
    <tableColumn id="6" xr3:uid="{00000000-0010-0000-0200-000006000000}" name="Impact Subscore"/>
    <tableColumn id="7" xr3:uid="{00000000-0010-0000-0200-000007000000}" name="Exploitability Subscore"/>
    <tableColumn id="8" xr3:uid="{00000000-0010-0000-0200-000008000000}" name="Final Numeric Score"/>
    <tableColumn id="9" xr3:uid="{00000000-0010-0000-0200-000009000000}" name="Attack Vector (AV)"/>
    <tableColumn id="10" xr3:uid="{00000000-0010-0000-0200-00000A000000}" name="AV Justification"/>
    <tableColumn id="11" xr3:uid="{00000000-0010-0000-0200-00000B000000}" name="Attack Complexity (AC)"/>
    <tableColumn id="12" xr3:uid="{00000000-0010-0000-0200-00000C000000}" name="AC Justification"/>
    <tableColumn id="13" xr3:uid="{00000000-0010-0000-0200-00000D000000}" name="Privileges Required (PR)"/>
    <tableColumn id="14" xr3:uid="{00000000-0010-0000-0200-00000E000000}" name="PR Justification"/>
    <tableColumn id="15" xr3:uid="{00000000-0010-0000-0200-00000F000000}" name="User Interaction (UI)"/>
    <tableColumn id="16" xr3:uid="{00000000-0010-0000-0200-000010000000}" name="UI Justification"/>
    <tableColumn id="17" xr3:uid="{00000000-0010-0000-0200-000011000000}" name="Scope (S)"/>
    <tableColumn id="18" xr3:uid="{00000000-0010-0000-0200-000012000000}" name="Scope Justification"/>
    <tableColumn id="19" xr3:uid="{00000000-0010-0000-0200-000013000000}" name="Confidentiality (C)"/>
    <tableColumn id="20" xr3:uid="{00000000-0010-0000-0200-000014000000}" name="C Justification"/>
    <tableColumn id="21" xr3:uid="{00000000-0010-0000-0200-000015000000}" name="Integrity (I)"/>
    <tableColumn id="22" xr3:uid="{00000000-0010-0000-0200-000016000000}" name="I Justification"/>
    <tableColumn id="23" xr3:uid="{00000000-0010-0000-0200-000017000000}" name="Availability (A)"/>
    <tableColumn id="24" xr3:uid="{00000000-0010-0000-0200-000018000000}" name="A Justification"/>
    <tableColumn id="25" xr3:uid="{00000000-0010-0000-0200-000019000000}" name="Vect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3000000}" name="CVSS31_Ratings" displayName="CVSS31_Ratings" ref="A1:Y51" totalsRowShown="0">
  <tableColumns count="25">
    <tableColumn id="1" xr3:uid="{00000000-0010-0000-0300-000001000000}" name="Finding ID"/>
    <tableColumn id="2" xr3:uid="{00000000-0010-0000-0300-000002000000}" name="Finding Title"/>
    <tableColumn id="3" xr3:uid="{00000000-0010-0000-0300-000003000000}" name="Finding Description"/>
    <tableColumn id="4" xr3:uid="{00000000-0010-0000-0300-000004000000}" name="Risk State (Inherent / Residual)"/>
    <tableColumn id="5" xr3:uid="{00000000-0010-0000-0300-000005000000}" name="Severity Rating"/>
    <tableColumn id="6" xr3:uid="{00000000-0010-0000-0300-000006000000}" name="Impact Subscore"/>
    <tableColumn id="7" xr3:uid="{00000000-0010-0000-0300-000007000000}" name="Exploitability Subscore"/>
    <tableColumn id="8" xr3:uid="{00000000-0010-0000-0300-000008000000}" name="Final Numeric Score"/>
    <tableColumn id="9" xr3:uid="{00000000-0010-0000-0300-000009000000}" name="Attack Vector (AV)"/>
    <tableColumn id="10" xr3:uid="{00000000-0010-0000-0300-00000A000000}" name="AV Justification"/>
    <tableColumn id="11" xr3:uid="{00000000-0010-0000-0300-00000B000000}" name="Attack Complexity (AC)"/>
    <tableColumn id="12" xr3:uid="{00000000-0010-0000-0300-00000C000000}" name="AC Justification"/>
    <tableColumn id="13" xr3:uid="{00000000-0010-0000-0300-00000D000000}" name="Privileges Required (PR)"/>
    <tableColumn id="14" xr3:uid="{00000000-0010-0000-0300-00000E000000}" name="PR Justification"/>
    <tableColumn id="15" xr3:uid="{00000000-0010-0000-0300-00000F000000}" name="User Interaction (UI)"/>
    <tableColumn id="16" xr3:uid="{00000000-0010-0000-0300-000010000000}" name="UI Justification"/>
    <tableColumn id="17" xr3:uid="{00000000-0010-0000-0300-000011000000}" name="Scope (S)"/>
    <tableColumn id="18" xr3:uid="{00000000-0010-0000-0300-000012000000}" name="Scope Justification"/>
    <tableColumn id="19" xr3:uid="{00000000-0010-0000-0300-000013000000}" name="Confidentiality (C)"/>
    <tableColumn id="20" xr3:uid="{00000000-0010-0000-0300-000014000000}" name="C Justification"/>
    <tableColumn id="21" xr3:uid="{00000000-0010-0000-0300-000015000000}" name="Integrity (I)"/>
    <tableColumn id="22" xr3:uid="{00000000-0010-0000-0300-000016000000}" name="I Justification"/>
    <tableColumn id="23" xr3:uid="{00000000-0010-0000-0300-000017000000}" name="Availability (A)"/>
    <tableColumn id="24" xr3:uid="{00000000-0010-0000-0300-000018000000}" name="A Justification"/>
    <tableColumn id="25" xr3:uid="{00000000-0010-0000-0300-000019000000}" name="Vec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OWASP_RRM_Ratings" displayName="OWASP_RRM_Ratings" ref="A1:AQ51" totalsRowShown="0">
  <tableColumns count="43">
    <tableColumn id="1" xr3:uid="{00000000-0010-0000-0400-000001000000}" name="Finding ID"/>
    <tableColumn id="2" xr3:uid="{00000000-0010-0000-0400-000002000000}" name="Finding Title"/>
    <tableColumn id="3" xr3:uid="{00000000-0010-0000-0400-000003000000}" name="Finding Description"/>
    <tableColumn id="4" xr3:uid="{00000000-0010-0000-0400-000004000000}" name="Risk State (Inherent / Residual)"/>
    <tableColumn id="5" xr3:uid="{00000000-0010-0000-0400-000005000000}" name="Severity Rating"/>
    <tableColumn id="6" xr3:uid="{00000000-0010-0000-0400-000006000000}" name="Impact Subscore"/>
    <tableColumn id="7" xr3:uid="{00000000-0010-0000-0400-000007000000}" name="Likelihood Subscore"/>
    <tableColumn id="8" xr3:uid="{00000000-0010-0000-0400-000008000000}" name="Final Risk Rating"/>
    <tableColumn id="9" xr3:uid="{00000000-0010-0000-0400-000009000000}" name="Skill Level"/>
    <tableColumn id="10" xr3:uid="{00000000-0010-0000-0400-00000A000000}" name="Skill Justification"/>
    <tableColumn id="11" xr3:uid="{00000000-0010-0000-0400-00000B000000}" name="Motive"/>
    <tableColumn id="12" xr3:uid="{00000000-0010-0000-0400-00000C000000}" name="Motive Justification"/>
    <tableColumn id="13" xr3:uid="{00000000-0010-0000-0400-00000D000000}" name="Opportunity"/>
    <tableColumn id="14" xr3:uid="{00000000-0010-0000-0400-00000E000000}" name="Opportunity Justification"/>
    <tableColumn id="15" xr3:uid="{00000000-0010-0000-0400-00000F000000}" name="Threat Agent Size"/>
    <tableColumn id="16" xr3:uid="{00000000-0010-0000-0400-000010000000}" name="Size Justification"/>
    <tableColumn id="17" xr3:uid="{00000000-0010-0000-0400-000011000000}" name="Ease of Discovery"/>
    <tableColumn id="18" xr3:uid="{00000000-0010-0000-0400-000012000000}" name="Discovery Justification"/>
    <tableColumn id="19" xr3:uid="{00000000-0010-0000-0400-000013000000}" name="Ease of Exploit"/>
    <tableColumn id="20" xr3:uid="{00000000-0010-0000-0400-000014000000}" name="Exploit Justification"/>
    <tableColumn id="21" xr3:uid="{00000000-0010-0000-0400-000015000000}" name="Awareness"/>
    <tableColumn id="22" xr3:uid="{00000000-0010-0000-0400-000016000000}" name="Awareness Justification"/>
    <tableColumn id="23" xr3:uid="{00000000-0010-0000-0400-000017000000}" name="Intrusion Detection"/>
    <tableColumn id="24" xr3:uid="{00000000-0010-0000-0400-000018000000}" name="Detection Justification"/>
    <tableColumn id="25" xr3:uid="{00000000-0010-0000-0400-000019000000}" name="Loss of Confidentiality"/>
    <tableColumn id="26" xr3:uid="{00000000-0010-0000-0400-00001A000000}" name="Confidentiality Justification"/>
    <tableColumn id="27" xr3:uid="{00000000-0010-0000-0400-00001B000000}" name="Loss of Integrity"/>
    <tableColumn id="28" xr3:uid="{00000000-0010-0000-0400-00001C000000}" name="Integrity Justification"/>
    <tableColumn id="29" xr3:uid="{00000000-0010-0000-0400-00001D000000}" name="Loss of Availability"/>
    <tableColumn id="30" xr3:uid="{00000000-0010-0000-0400-00001E000000}" name="Availability Justification"/>
    <tableColumn id="31" xr3:uid="{00000000-0010-0000-0400-00001F000000}" name="Loss of Accountability"/>
    <tableColumn id="32" xr3:uid="{00000000-0010-0000-0400-000020000000}" name="Accountability Justification"/>
    <tableColumn id="33" xr3:uid="{00000000-0010-0000-0400-000021000000}" name="Financial Damage"/>
    <tableColumn id="34" xr3:uid="{00000000-0010-0000-0400-000022000000}" name="Financial Justification"/>
    <tableColumn id="35" xr3:uid="{00000000-0010-0000-0400-000023000000}" name="Reputation Damage"/>
    <tableColumn id="36" xr3:uid="{00000000-0010-0000-0400-000024000000}" name="Reputation Justification"/>
    <tableColumn id="37" xr3:uid="{00000000-0010-0000-0400-000025000000}" name="Non-compliance"/>
    <tableColumn id="38" xr3:uid="{00000000-0010-0000-0400-000026000000}" name="Non-compliance Justification"/>
    <tableColumn id="39" xr3:uid="{00000000-0010-0000-0400-000027000000}" name="Privacy Violation"/>
    <tableColumn id="40" xr3:uid="{00000000-0010-0000-0400-000028000000}" name="Privacy Justification"/>
    <tableColumn id="41" xr3:uid="{00000000-0010-0000-0400-000029000000}" name="Technical Impact"/>
    <tableColumn id="42" xr3:uid="{00000000-0010-0000-0400-00002A000000}" name="Business Impact"/>
    <tableColumn id="43" xr3:uid="{00000000-0010-0000-0400-00002B000000}" name="Impact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</cols>
  <sheetData>
    <row r="1" spans="1:18" ht="1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76">
      <c r="A2" s="5" t="s">
        <v>18</v>
      </c>
      <c r="B2" s="1" t="s">
        <v>19</v>
      </c>
      <c r="C2" s="1" t="s">
        <v>20</v>
      </c>
      <c r="D2" s="1" t="s">
        <v>21</v>
      </c>
      <c r="E2" s="1" t="str">
        <f t="shared" ref="E2:E33" si="0">IF(H2="","",IF(H2&gt;=8,"High",IF(H2&gt;=4,"Medium","Low")))</f>
        <v>High</v>
      </c>
      <c r="F2" s="3">
        <f t="shared" ref="F2:F33" si="1">IF(COUNTA(I2,O2)&lt;2,"",AVERAGE(_xlfn.XLOOKUP(I2,DREAD_Damage,DREAD_Damage_Value),_xlfn.XLOOKUP(O2,DREAD_AffectedUsers,DREAD_AffectedUsers_Value)))</f>
        <v>7.5</v>
      </c>
      <c r="G2" s="3">
        <f t="shared" ref="G2:G33" si="2">IF(COUNTA(K2,M2,Q2)&lt;3,"",AVERAGE(_xlfn.XLOOKUP(K2,DREAD_Reproducibility,DREAD_Reproducibility_Value),_xlfn.XLOOKUP(M2,DREAD_Exploitability,DREAD_Exploitability_Value),_xlfn.XLOOKUP(Q2,DREAD_Discoverability,DREAD_Discoverability_Value)))</f>
        <v>9.1666666666666661</v>
      </c>
      <c r="H2" s="3">
        <f t="shared" ref="H2:H33" si="3">IF(COUNTA(I2,K2,M2,O2,Q2)&lt;5,"",AVERAGE(_xlfn.XLOOKUP(I2,DREAD_Damage,DREAD_Damage_Value),_xlfn.XLOOKUP(K2,DREAD_Reproducibility,DREAD_Reproducibility_Value),_xlfn.XLOOKUP(M2,DREAD_Exploitability,DREAD_Exploitability_Value),_xlfn.XLOOKUP(O2,DREAD_AffectedUsers,DREAD_AffectedUsers_Value),_xlfn.XLOOKUP(Q2,DREAD_Discoverability,DREAD_Discoverability_Value)))</f>
        <v>8.5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</row>
    <row r="3" spans="1:18" ht="61">
      <c r="A3" s="5" t="s">
        <v>18</v>
      </c>
      <c r="B3" s="1" t="s">
        <v>19</v>
      </c>
      <c r="C3" s="1" t="s">
        <v>20</v>
      </c>
      <c r="D3" s="1" t="s">
        <v>32</v>
      </c>
      <c r="E3" s="1" t="str">
        <f t="shared" si="0"/>
        <v>Medium</v>
      </c>
      <c r="F3" s="3">
        <f t="shared" si="1"/>
        <v>5</v>
      </c>
      <c r="G3" s="3">
        <f t="shared" si="2"/>
        <v>5</v>
      </c>
      <c r="H3" s="3">
        <f t="shared" si="3"/>
        <v>5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</row>
    <row r="4" spans="1:18" ht="61">
      <c r="A4" s="5" t="s">
        <v>43</v>
      </c>
      <c r="B4" s="1" t="s">
        <v>44</v>
      </c>
      <c r="C4" s="1" t="s">
        <v>45</v>
      </c>
      <c r="D4" s="1" t="s">
        <v>21</v>
      </c>
      <c r="E4" s="1" t="str">
        <f t="shared" si="0"/>
        <v>Medium</v>
      </c>
      <c r="F4" s="3">
        <f t="shared" si="1"/>
        <v>5</v>
      </c>
      <c r="G4" s="3">
        <f t="shared" si="2"/>
        <v>6.666666666666667</v>
      </c>
      <c r="H4" s="3">
        <f t="shared" si="3"/>
        <v>6</v>
      </c>
      <c r="I4" s="1" t="s">
        <v>33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39</v>
      </c>
      <c r="P4" s="1" t="s">
        <v>51</v>
      </c>
      <c r="Q4" s="1" t="s">
        <v>41</v>
      </c>
      <c r="R4" s="1" t="s">
        <v>52</v>
      </c>
    </row>
    <row r="5" spans="1:18" ht="61">
      <c r="A5" s="5" t="s">
        <v>43</v>
      </c>
      <c r="B5" s="1" t="s">
        <v>44</v>
      </c>
      <c r="C5" s="1" t="s">
        <v>45</v>
      </c>
      <c r="D5" s="1" t="s">
        <v>32</v>
      </c>
      <c r="E5" s="1" t="str">
        <f t="shared" si="0"/>
        <v>Low</v>
      </c>
      <c r="F5" s="3">
        <f t="shared" si="1"/>
        <v>2.5</v>
      </c>
      <c r="G5" s="3">
        <f t="shared" si="2"/>
        <v>2.5</v>
      </c>
      <c r="H5" s="3">
        <f t="shared" si="3"/>
        <v>2.5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62</v>
      </c>
    </row>
    <row r="6" spans="1:18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">
      <c r="A34" s="1"/>
      <c r="B34" s="1"/>
      <c r="C34" s="1"/>
      <c r="D34" s="1"/>
      <c r="E34" s="1" t="str">
        <f t="shared" ref="E34:E51" si="4">IF(H34="","",IF(H34&gt;=8,"High",IF(H34&gt;=4,"Medium","Low")))</f>
        <v/>
      </c>
      <c r="F34" s="3" t="str">
        <f t="shared" ref="F34:F51" si="5">IF(COUNTA(I34,O34)&lt;2,"",AVERAGE(_xlfn.XLOOKUP(I34,DREAD_Damage,DREAD_Damage_Value),_xlfn.XLOOKUP(O34,DREAD_AffectedUsers,DREAD_AffectedUsers_Value)))</f>
        <v/>
      </c>
      <c r="G34" s="3" t="str">
        <f t="shared" ref="G34:G51" si="6">IF(COUNTA(K34,M34,Q34)&lt;3,"",AVERAGE(_xlfn.XLOOKUP(K34,DREAD_Reproducibility,DREAD_Reproducibility_Value),_xlfn.XLOOKUP(M34,DREAD_Exploitability,DREAD_Exploitability_Value),_xlfn.XLOOKUP(Q34,DREAD_Discoverability,DREAD_Discoverability_Value)))</f>
        <v/>
      </c>
      <c r="H34" s="3" t="str">
        <f t="shared" ref="H34:H51" si="7">IF(COUNTA(I34,K34,M34,O34,Q34)&lt;5,"",AVERAGE(_xlfn.XLOOKUP(I34,DREAD_Damage,DREAD_Damage_Value),_xlfn.XLOOKUP(K34,DREAD_Reproducibility,DREAD_Reproducibility_Value),_xlfn.XLOOKUP(M34,DREAD_Exploitability,DREAD_Exploitability_Value),_xlfn.XLOOKUP(O34,DREAD_AffectedUsers,DREAD_AffectedUsers_Value),_xlfn.XLOOKUP(Q34,DREAD_Discoverability,DREAD_Discoverability_Value)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">
      <c r="A35" s="1"/>
      <c r="B35" s="1"/>
      <c r="C35" s="1"/>
      <c r="D35" s="1"/>
      <c r="E35" s="1" t="str">
        <f t="shared" si="4"/>
        <v/>
      </c>
      <c r="F35" s="3" t="str">
        <f t="shared" si="5"/>
        <v/>
      </c>
      <c r="G35" s="3" t="str">
        <f t="shared" si="6"/>
        <v/>
      </c>
      <c r="H35" s="3" t="str">
        <f t="shared" si="7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">
      <c r="A36" s="1"/>
      <c r="B36" s="1"/>
      <c r="C36" s="1"/>
      <c r="D36" s="1"/>
      <c r="E36" s="1" t="str">
        <f t="shared" si="4"/>
        <v/>
      </c>
      <c r="F36" s="3" t="str">
        <f t="shared" si="5"/>
        <v/>
      </c>
      <c r="G36" s="3" t="str">
        <f t="shared" si="6"/>
        <v/>
      </c>
      <c r="H36" s="3" t="str">
        <f t="shared" si="7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">
      <c r="A37" s="1"/>
      <c r="B37" s="1"/>
      <c r="C37" s="1"/>
      <c r="D37" s="1"/>
      <c r="E37" s="1" t="str">
        <f t="shared" si="4"/>
        <v/>
      </c>
      <c r="F37" s="3" t="str">
        <f t="shared" si="5"/>
        <v/>
      </c>
      <c r="G37" s="3" t="str">
        <f t="shared" si="6"/>
        <v/>
      </c>
      <c r="H37" s="3" t="str">
        <f t="shared" si="7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">
      <c r="A38" s="1"/>
      <c r="B38" s="1"/>
      <c r="C38" s="1"/>
      <c r="D38" s="1"/>
      <c r="E38" s="1" t="str">
        <f t="shared" si="4"/>
        <v/>
      </c>
      <c r="F38" s="3" t="str">
        <f t="shared" si="5"/>
        <v/>
      </c>
      <c r="G38" s="3" t="str">
        <f t="shared" si="6"/>
        <v/>
      </c>
      <c r="H38" s="3" t="str">
        <f t="shared" si="7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">
      <c r="A39" s="1"/>
      <c r="B39" s="1"/>
      <c r="C39" s="1"/>
      <c r="D39" s="1"/>
      <c r="E39" s="1" t="str">
        <f t="shared" si="4"/>
        <v/>
      </c>
      <c r="F39" s="3" t="str">
        <f t="shared" si="5"/>
        <v/>
      </c>
      <c r="G39" s="3" t="str">
        <f t="shared" si="6"/>
        <v/>
      </c>
      <c r="H39" s="3" t="str">
        <f t="shared" si="7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">
      <c r="A40" s="1"/>
      <c r="B40" s="1"/>
      <c r="C40" s="1"/>
      <c r="D40" s="1"/>
      <c r="E40" s="1" t="str">
        <f t="shared" si="4"/>
        <v/>
      </c>
      <c r="F40" s="3" t="str">
        <f t="shared" si="5"/>
        <v/>
      </c>
      <c r="G40" s="3" t="str">
        <f t="shared" si="6"/>
        <v/>
      </c>
      <c r="H40" s="3" t="str">
        <f t="shared" si="7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">
      <c r="A41" s="1"/>
      <c r="B41" s="1"/>
      <c r="C41" s="1"/>
      <c r="D41" s="1"/>
      <c r="E41" s="1" t="str">
        <f t="shared" si="4"/>
        <v/>
      </c>
      <c r="F41" s="3" t="str">
        <f t="shared" si="5"/>
        <v/>
      </c>
      <c r="G41" s="3" t="str">
        <f t="shared" si="6"/>
        <v/>
      </c>
      <c r="H41" s="3" t="str">
        <f t="shared" si="7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">
      <c r="A42" s="1"/>
      <c r="B42" s="1"/>
      <c r="C42" s="1"/>
      <c r="D42" s="1"/>
      <c r="E42" s="1" t="str">
        <f t="shared" si="4"/>
        <v/>
      </c>
      <c r="F42" s="3" t="str">
        <f t="shared" si="5"/>
        <v/>
      </c>
      <c r="G42" s="3" t="str">
        <f t="shared" si="6"/>
        <v/>
      </c>
      <c r="H42" s="3" t="str">
        <f t="shared" si="7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">
      <c r="A43" s="1"/>
      <c r="B43" s="1"/>
      <c r="C43" s="1"/>
      <c r="D43" s="1"/>
      <c r="E43" s="1" t="str">
        <f t="shared" si="4"/>
        <v/>
      </c>
      <c r="F43" s="3" t="str">
        <f t="shared" si="5"/>
        <v/>
      </c>
      <c r="G43" s="3" t="str">
        <f t="shared" si="6"/>
        <v/>
      </c>
      <c r="H43" s="3" t="str">
        <f t="shared" si="7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">
      <c r="A44" s="1"/>
      <c r="B44" s="1"/>
      <c r="C44" s="1"/>
      <c r="D44" s="1"/>
      <c r="E44" s="1" t="str">
        <f t="shared" si="4"/>
        <v/>
      </c>
      <c r="F44" s="3" t="str">
        <f t="shared" si="5"/>
        <v/>
      </c>
      <c r="G44" s="3" t="str">
        <f t="shared" si="6"/>
        <v/>
      </c>
      <c r="H44" s="3" t="str">
        <f t="shared" si="7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">
      <c r="A45" s="1"/>
      <c r="B45" s="1"/>
      <c r="C45" s="1"/>
      <c r="D45" s="1"/>
      <c r="E45" s="1" t="str">
        <f t="shared" si="4"/>
        <v/>
      </c>
      <c r="F45" s="3" t="str">
        <f t="shared" si="5"/>
        <v/>
      </c>
      <c r="G45" s="3" t="str">
        <f t="shared" si="6"/>
        <v/>
      </c>
      <c r="H45" s="3" t="str">
        <f t="shared" si="7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">
      <c r="A46" s="1"/>
      <c r="B46" s="1"/>
      <c r="C46" s="1"/>
      <c r="D46" s="1"/>
      <c r="E46" s="1" t="str">
        <f t="shared" si="4"/>
        <v/>
      </c>
      <c r="F46" s="3" t="str">
        <f t="shared" si="5"/>
        <v/>
      </c>
      <c r="G46" s="3" t="str">
        <f t="shared" si="6"/>
        <v/>
      </c>
      <c r="H46" s="3" t="str">
        <f t="shared" si="7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">
      <c r="A47" s="1"/>
      <c r="B47" s="1"/>
      <c r="C47" s="1"/>
      <c r="D47" s="1"/>
      <c r="E47" s="1" t="str">
        <f t="shared" si="4"/>
        <v/>
      </c>
      <c r="F47" s="3" t="str">
        <f t="shared" si="5"/>
        <v/>
      </c>
      <c r="G47" s="3" t="str">
        <f t="shared" si="6"/>
        <v/>
      </c>
      <c r="H47" s="3" t="str">
        <f t="shared" si="7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">
      <c r="A48" s="1"/>
      <c r="B48" s="1"/>
      <c r="C48" s="1"/>
      <c r="D48" s="1"/>
      <c r="E48" s="1" t="str">
        <f t="shared" si="4"/>
        <v/>
      </c>
      <c r="F48" s="3" t="str">
        <f t="shared" si="5"/>
        <v/>
      </c>
      <c r="G48" s="3" t="str">
        <f t="shared" si="6"/>
        <v/>
      </c>
      <c r="H48" s="3" t="str">
        <f t="shared" si="7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">
      <c r="A49" s="1"/>
      <c r="B49" s="1"/>
      <c r="C49" s="1"/>
      <c r="D49" s="1"/>
      <c r="E49" s="1" t="str">
        <f t="shared" si="4"/>
        <v/>
      </c>
      <c r="F49" s="3" t="str">
        <f t="shared" si="5"/>
        <v/>
      </c>
      <c r="G49" s="3" t="str">
        <f t="shared" si="6"/>
        <v/>
      </c>
      <c r="H49" s="3" t="str">
        <f t="shared" si="7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">
      <c r="A50" s="1"/>
      <c r="B50" s="1"/>
      <c r="C50" s="1"/>
      <c r="D50" s="1"/>
      <c r="E50" s="1" t="str">
        <f t="shared" si="4"/>
        <v/>
      </c>
      <c r="F50" s="3" t="str">
        <f t="shared" si="5"/>
        <v/>
      </c>
      <c r="G50" s="3" t="str">
        <f t="shared" si="6"/>
        <v/>
      </c>
      <c r="H50" s="3" t="str">
        <f t="shared" si="7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>
      <c r="A51" s="1"/>
      <c r="B51" s="1"/>
      <c r="C51" s="1"/>
      <c r="D51" s="1"/>
      <c r="E51" s="1" t="str">
        <f t="shared" si="4"/>
        <v/>
      </c>
      <c r="F51" s="3" t="str">
        <f t="shared" si="5"/>
        <v/>
      </c>
      <c r="G51" s="3" t="str">
        <f t="shared" si="6"/>
        <v/>
      </c>
      <c r="H51" s="3" t="str">
        <f t="shared" si="7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</row>
  </sheetData>
  <conditionalFormatting sqref="D2:D51">
    <cfRule type="expression" dxfId="72" priority="1">
      <formula>D2="Residual"</formula>
    </cfRule>
  </conditionalFormatting>
  <conditionalFormatting sqref="E2:E51">
    <cfRule type="expression" dxfId="71" priority="2">
      <formula>E2="Critical"</formula>
    </cfRule>
    <cfRule type="expression" dxfId="70" priority="3">
      <formula>E2="High"</formula>
    </cfRule>
    <cfRule type="expression" dxfId="69" priority="4">
      <formula>E2="Medium"</formula>
    </cfRule>
    <cfRule type="expression" dxfId="68" priority="5">
      <formula>E2="Low"</formula>
    </cfRule>
    <cfRule type="expression" dxfId="67" priority="6">
      <formula>E2="Note"</formula>
    </cfRule>
  </conditionalFormatting>
  <conditionalFormatting sqref="J2:J51">
    <cfRule type="expression" dxfId="66" priority="7">
      <formula>AND($D2="Residual",I2&lt;&gt;"",J2="")</formula>
    </cfRule>
  </conditionalFormatting>
  <conditionalFormatting sqref="L2:L51">
    <cfRule type="expression" dxfId="65" priority="8">
      <formula>AND($D2="Residual",K2&lt;&gt;"",L2="")</formula>
    </cfRule>
  </conditionalFormatting>
  <conditionalFormatting sqref="N2:N51">
    <cfRule type="expression" dxfId="64" priority="9">
      <formula>AND($D2="Residual",M2&lt;&gt;"",N2="")</formula>
    </cfRule>
  </conditionalFormatting>
  <conditionalFormatting sqref="P2:P51">
    <cfRule type="expression" dxfId="63" priority="10">
      <formula>AND($D2="Residual",O2&lt;&gt;"",P2="")</formula>
    </cfRule>
  </conditionalFormatting>
  <conditionalFormatting sqref="R2:R51">
    <cfRule type="expression" dxfId="62" priority="11">
      <formula>AND($D2="Residual",Q2&lt;&gt;"",R2="")</formula>
    </cfRule>
  </conditionalFormatting>
  <dataValidations count="6">
    <dataValidation type="list" sqref="D2:D51" xr:uid="{00000000-0002-0000-0000-000000000000}">
      <formula1>Risk_State</formula1>
    </dataValidation>
    <dataValidation type="list" sqref="I2:I51" xr:uid="{00000000-0002-0000-0000-000001000000}">
      <formula1>DREAD_Damage</formula1>
    </dataValidation>
    <dataValidation type="list" sqref="K2:K51" xr:uid="{00000000-0002-0000-0000-000002000000}">
      <formula1>DREAD_Reproducibility</formula1>
    </dataValidation>
    <dataValidation type="list" sqref="M2:M51" xr:uid="{00000000-0002-0000-0000-000003000000}">
      <formula1>DREAD_Exploitability</formula1>
    </dataValidation>
    <dataValidation type="list" sqref="O2:O51" xr:uid="{00000000-0002-0000-0000-000004000000}">
      <formula1>DREAD_AffectedUsers</formula1>
    </dataValidation>
    <dataValidation type="list" sqref="Q2:Q51" xr:uid="{00000000-0002-0000-0000-000005000000}">
      <formula1>DREAD_Discoverability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</cols>
  <sheetData>
    <row r="1" spans="1:21" ht="1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</row>
    <row r="2" spans="1:21" ht="46">
      <c r="A2" s="5" t="s">
        <v>18</v>
      </c>
      <c r="B2" s="1" t="s">
        <v>19</v>
      </c>
      <c r="C2" s="1" t="s">
        <v>20</v>
      </c>
      <c r="D2" s="1" t="s">
        <v>21</v>
      </c>
      <c r="E2" s="1" t="str">
        <f t="shared" ref="E2:E33" si="0">IF(H2="","",IF(H2=0,"None",IF(H2&lt;4,"Low",IF(H2&lt;7,"Medium","High"))))</f>
        <v>High</v>
      </c>
      <c r="F2" s="3">
        <f t="shared" ref="F2:F33" si="1">IF(COUNTA(O2,Q2,S2)&lt;3,"",10.41*(1-(1-_xlfn.XLOOKUP(O2,CVSS2_C,CVSS2_C_Value,""))*(1-_xlfn.XLOOKUP(Q2,CVSS2_I,CVSS2_I_Value,""))*(1-_xlfn.XLOOKUP(S2,CVSS2_A,CVSS2_A_Value,""))))</f>
        <v>9.5375379000000002</v>
      </c>
      <c r="G2" s="3">
        <f t="shared" ref="G2:G33" si="2">IF(COUNTA(I2,K2,M2)&lt;3,"",20*_xlfn.XLOOKUP(I2,CVSS2_AV,CVSS2_AV_Value,"")*_xlfn.XLOOKUP(K2,CVSS2_AC,CVSS2_AC_Value,"")*_xlfn.XLOOKUP(M2,CVSS2_Au,CVSS2_Au_Value,""))</f>
        <v>9.9967999999999986</v>
      </c>
      <c r="H2" s="3">
        <f t="shared" ref="H2:H33" si="3">IF(OR(F2="",G2=""),"",ROUND((((0.6*F2)+(0.4*G2)-1.5)*IF(F2=0,0,1.176)),1))</f>
        <v>9.6999999999999993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82</v>
      </c>
      <c r="R2" s="1" t="s">
        <v>84</v>
      </c>
      <c r="S2" s="1" t="s">
        <v>85</v>
      </c>
      <c r="T2" s="1" t="s">
        <v>86</v>
      </c>
      <c r="U2" s="1" t="str">
        <f t="shared" ref="U2:U33" si="4">IF(COUNTA(I2,K2,M2,O2,Q2,S2)&lt;6,"","AV:"&amp;_xlfn.XLOOKUP(I2,CVSS2_AV,CVSS2_AV_Code,"")&amp;"/AC:"&amp;_xlfn.XLOOKUP(K2,CVSS2_AC,CVSS2_AC_Code,"")&amp;"/Au:"&amp;_xlfn.XLOOKUP(M2,CVSS2_Au,CVSS2_Au_Code,"")&amp;"/C:"&amp;_xlfn.XLOOKUP(O2,CVSS2_C,CVSS2_C_Code,"")&amp;"/I:"&amp;_xlfn.XLOOKUP(Q2,CVSS2_I,CVSS2_I_Code,"")&amp;"/A:"&amp;_xlfn.XLOOKUP(S2,CVSS2_A,CVSS2_A_Code,""))</f>
        <v>AV:N/AC:L/Au:N/C:C/I:C/A:P</v>
      </c>
    </row>
    <row r="3" spans="1:21" ht="61">
      <c r="A3" s="5" t="s">
        <v>18</v>
      </c>
      <c r="B3" s="1" t="s">
        <v>19</v>
      </c>
      <c r="C3" s="1" t="s">
        <v>20</v>
      </c>
      <c r="D3" s="1" t="s">
        <v>32</v>
      </c>
      <c r="E3" s="1" t="str">
        <f t="shared" si="0"/>
        <v>High</v>
      </c>
      <c r="F3" s="3">
        <f t="shared" si="1"/>
        <v>9.5375379000000002</v>
      </c>
      <c r="G3" s="3">
        <f t="shared" si="2"/>
        <v>9.9967999999999986</v>
      </c>
      <c r="H3" s="3">
        <f t="shared" si="3"/>
        <v>9.6999999999999993</v>
      </c>
      <c r="I3" s="1" t="s">
        <v>76</v>
      </c>
      <c r="J3" s="1" t="s">
        <v>87</v>
      </c>
      <c r="K3" s="1" t="s">
        <v>78</v>
      </c>
      <c r="L3" s="1" t="s">
        <v>88</v>
      </c>
      <c r="M3" s="1" t="s">
        <v>80</v>
      </c>
      <c r="N3" s="1" t="s">
        <v>89</v>
      </c>
      <c r="O3" s="1" t="s">
        <v>82</v>
      </c>
      <c r="P3" s="1" t="s">
        <v>90</v>
      </c>
      <c r="Q3" s="1" t="s">
        <v>82</v>
      </c>
      <c r="R3" s="1" t="s">
        <v>90</v>
      </c>
      <c r="S3" s="1" t="s">
        <v>85</v>
      </c>
      <c r="T3" s="1" t="s">
        <v>90</v>
      </c>
      <c r="U3" s="1" t="str">
        <f t="shared" si="4"/>
        <v>AV:N/AC:L/Au:N/C:C/I:C/A:P</v>
      </c>
    </row>
    <row r="4" spans="1:21" ht="61">
      <c r="A4" s="5" t="s">
        <v>43</v>
      </c>
      <c r="B4" s="1" t="s">
        <v>44</v>
      </c>
      <c r="C4" s="1" t="s">
        <v>45</v>
      </c>
      <c r="D4" s="1" t="s">
        <v>21</v>
      </c>
      <c r="E4" s="1" t="str">
        <f t="shared" si="0"/>
        <v>Medium</v>
      </c>
      <c r="F4" s="3">
        <f t="shared" si="1"/>
        <v>4.9382437499999998</v>
      </c>
      <c r="G4" s="3">
        <f t="shared" si="2"/>
        <v>7.952</v>
      </c>
      <c r="H4" s="3">
        <f t="shared" si="3"/>
        <v>5.5</v>
      </c>
      <c r="I4" s="1" t="s">
        <v>76</v>
      </c>
      <c r="J4" s="1" t="s">
        <v>91</v>
      </c>
      <c r="K4" s="1" t="s">
        <v>78</v>
      </c>
      <c r="L4" s="1" t="s">
        <v>92</v>
      </c>
      <c r="M4" s="1" t="s">
        <v>93</v>
      </c>
      <c r="N4" s="1" t="s">
        <v>94</v>
      </c>
      <c r="O4" s="1" t="s">
        <v>85</v>
      </c>
      <c r="P4" s="1" t="s">
        <v>95</v>
      </c>
      <c r="Q4" s="1" t="s">
        <v>85</v>
      </c>
      <c r="R4" s="1" t="s">
        <v>96</v>
      </c>
      <c r="S4" s="1" t="s">
        <v>80</v>
      </c>
      <c r="T4" s="1" t="s">
        <v>97</v>
      </c>
      <c r="U4" s="1" t="str">
        <f t="shared" si="4"/>
        <v>AV:N/AC:L/Au:S/C:P/I:P/A:N</v>
      </c>
    </row>
    <row r="5" spans="1:21" ht="61">
      <c r="A5" s="5" t="s">
        <v>43</v>
      </c>
      <c r="B5" s="1" t="s">
        <v>44</v>
      </c>
      <c r="C5" s="1" t="s">
        <v>45</v>
      </c>
      <c r="D5" s="1" t="s">
        <v>32</v>
      </c>
      <c r="E5" s="1" t="str">
        <f t="shared" si="0"/>
        <v>Medium</v>
      </c>
      <c r="F5" s="3">
        <f t="shared" si="1"/>
        <v>4.9382437499999998</v>
      </c>
      <c r="G5" s="3">
        <f t="shared" si="2"/>
        <v>7.952</v>
      </c>
      <c r="H5" s="3">
        <f t="shared" si="3"/>
        <v>5.5</v>
      </c>
      <c r="I5" s="1" t="s">
        <v>76</v>
      </c>
      <c r="J5" s="1" t="s">
        <v>98</v>
      </c>
      <c r="K5" s="1" t="s">
        <v>78</v>
      </c>
      <c r="L5" s="1" t="s">
        <v>99</v>
      </c>
      <c r="M5" s="1" t="s">
        <v>93</v>
      </c>
      <c r="N5" s="1" t="s">
        <v>100</v>
      </c>
      <c r="O5" s="1" t="s">
        <v>85</v>
      </c>
      <c r="P5" s="1" t="s">
        <v>101</v>
      </c>
      <c r="Q5" s="1" t="s">
        <v>85</v>
      </c>
      <c r="R5" s="1" t="s">
        <v>101</v>
      </c>
      <c r="S5" s="1" t="s">
        <v>80</v>
      </c>
      <c r="T5" s="1" t="s">
        <v>102</v>
      </c>
      <c r="U5" s="1" t="str">
        <f t="shared" si="4"/>
        <v>AV:N/AC:L/Au:S/C:P/I:P/A:N</v>
      </c>
    </row>
    <row r="6" spans="1:21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tr">
        <f t="shared" si="4"/>
        <v/>
      </c>
    </row>
    <row r="7" spans="1:21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tr">
        <f t="shared" si="4"/>
        <v/>
      </c>
    </row>
    <row r="8" spans="1:21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tr">
        <f t="shared" si="4"/>
        <v/>
      </c>
    </row>
    <row r="9" spans="1:21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 t="str">
        <f t="shared" si="4"/>
        <v/>
      </c>
    </row>
    <row r="10" spans="1:21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 t="str">
        <f t="shared" si="4"/>
        <v/>
      </c>
    </row>
    <row r="11" spans="1:21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tr">
        <f t="shared" si="4"/>
        <v/>
      </c>
    </row>
    <row r="12" spans="1:21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 t="str">
        <f t="shared" si="4"/>
        <v/>
      </c>
    </row>
    <row r="13" spans="1:21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tr">
        <f t="shared" si="4"/>
        <v/>
      </c>
    </row>
    <row r="14" spans="1:21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tr">
        <f t="shared" si="4"/>
        <v/>
      </c>
    </row>
    <row r="15" spans="1:21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 t="str">
        <f t="shared" si="4"/>
        <v/>
      </c>
    </row>
    <row r="16" spans="1:21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tr">
        <f t="shared" si="4"/>
        <v/>
      </c>
    </row>
    <row r="17" spans="1:21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str">
        <f t="shared" si="4"/>
        <v/>
      </c>
    </row>
    <row r="18" spans="1:21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tr">
        <f t="shared" si="4"/>
        <v/>
      </c>
    </row>
    <row r="19" spans="1:21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str">
        <f t="shared" si="4"/>
        <v/>
      </c>
    </row>
    <row r="20" spans="1:21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tr">
        <f t="shared" si="4"/>
        <v/>
      </c>
    </row>
    <row r="21" spans="1:21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 t="str">
        <f t="shared" si="4"/>
        <v/>
      </c>
    </row>
    <row r="22" spans="1:21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tr">
        <f t="shared" si="4"/>
        <v/>
      </c>
    </row>
    <row r="23" spans="1:21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str">
        <f t="shared" si="4"/>
        <v/>
      </c>
    </row>
    <row r="24" spans="1:21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 t="str">
        <f t="shared" si="4"/>
        <v/>
      </c>
    </row>
    <row r="25" spans="1:21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 t="str">
        <f t="shared" si="4"/>
        <v/>
      </c>
    </row>
    <row r="26" spans="1:21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 t="str">
        <f t="shared" si="4"/>
        <v/>
      </c>
    </row>
    <row r="27" spans="1:21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 t="str">
        <f t="shared" si="4"/>
        <v/>
      </c>
    </row>
    <row r="28" spans="1:21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 t="str">
        <f t="shared" si="4"/>
        <v/>
      </c>
    </row>
    <row r="29" spans="1:21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 t="str">
        <f t="shared" si="4"/>
        <v/>
      </c>
    </row>
    <row r="30" spans="1:21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 t="str">
        <f t="shared" si="4"/>
        <v/>
      </c>
    </row>
    <row r="31" spans="1:21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 t="str">
        <f t="shared" si="4"/>
        <v/>
      </c>
    </row>
    <row r="32" spans="1:21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 t="str">
        <f t="shared" si="4"/>
        <v/>
      </c>
    </row>
    <row r="33" spans="1:21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str">
        <f t="shared" si="4"/>
        <v/>
      </c>
    </row>
    <row r="34" spans="1:21" ht="15">
      <c r="A34" s="1"/>
      <c r="B34" s="1"/>
      <c r="C34" s="1"/>
      <c r="D34" s="1"/>
      <c r="E34" s="1" t="str">
        <f t="shared" ref="E34:E51" si="5">IF(H34="","",IF(H34=0,"None",IF(H34&lt;4,"Low",IF(H34&lt;7,"Medium","High"))))</f>
        <v/>
      </c>
      <c r="F34" s="3" t="str">
        <f t="shared" ref="F34:F51" si="6">IF(COUNTA(O34,Q34,S34)&lt;3,"",10.41*(1-(1-_xlfn.XLOOKUP(O34,CVSS2_C,CVSS2_C_Value,""))*(1-_xlfn.XLOOKUP(Q34,CVSS2_I,CVSS2_I_Value,""))*(1-_xlfn.XLOOKUP(S34,CVSS2_A,CVSS2_A_Value,""))))</f>
        <v/>
      </c>
      <c r="G34" s="3" t="str">
        <f t="shared" ref="G34:G51" si="7">IF(COUNTA(I34,K34,M34)&lt;3,"",20*_xlfn.XLOOKUP(I34,CVSS2_AV,CVSS2_AV_Value,"")*_xlfn.XLOOKUP(K34,CVSS2_AC,CVSS2_AC_Value,"")*_xlfn.XLOOKUP(M34,CVSS2_Au,CVSS2_Au_Value,""))</f>
        <v/>
      </c>
      <c r="H34" s="3" t="str">
        <f t="shared" ref="H34:H51" si="8">IF(OR(F34="",G34=""),"",ROUND((((0.6*F34)+(0.4*G34)-1.5)*IF(F34=0,0,1.176)),1))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 t="str">
        <f t="shared" ref="U34:U51" si="9">IF(COUNTA(I34,K34,M34,O34,Q34,S34)&lt;6,"","AV:"&amp;_xlfn.XLOOKUP(I34,CVSS2_AV,CVSS2_AV_Code,"")&amp;"/AC:"&amp;_xlfn.XLOOKUP(K34,CVSS2_AC,CVSS2_AC_Code,"")&amp;"/Au:"&amp;_xlfn.XLOOKUP(M34,CVSS2_Au,CVSS2_Au_Code,"")&amp;"/C:"&amp;_xlfn.XLOOKUP(O34,CVSS2_C,CVSS2_C_Code,"")&amp;"/I:"&amp;_xlfn.XLOOKUP(Q34,CVSS2_I,CVSS2_I_Code,"")&amp;"/A:"&amp;_xlfn.XLOOKUP(S34,CVSS2_A,CVSS2_A_Code,""))</f>
        <v/>
      </c>
    </row>
    <row r="35" spans="1:21" ht="15">
      <c r="A35" s="1"/>
      <c r="B35" s="1"/>
      <c r="C35" s="1"/>
      <c r="D35" s="1"/>
      <c r="E35" s="1" t="str">
        <f t="shared" si="5"/>
        <v/>
      </c>
      <c r="F35" s="3" t="str">
        <f t="shared" si="6"/>
        <v/>
      </c>
      <c r="G35" s="3" t="str">
        <f t="shared" si="7"/>
        <v/>
      </c>
      <c r="H35" s="3" t="str">
        <f t="shared" si="8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 t="str">
        <f t="shared" si="9"/>
        <v/>
      </c>
    </row>
    <row r="36" spans="1:21" ht="15">
      <c r="A36" s="1"/>
      <c r="B36" s="1"/>
      <c r="C36" s="1"/>
      <c r="D36" s="1"/>
      <c r="E36" s="1" t="str">
        <f t="shared" si="5"/>
        <v/>
      </c>
      <c r="F36" s="3" t="str">
        <f t="shared" si="6"/>
        <v/>
      </c>
      <c r="G36" s="3" t="str">
        <f t="shared" si="7"/>
        <v/>
      </c>
      <c r="H36" s="3" t="str">
        <f t="shared" si="8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 t="str">
        <f t="shared" si="9"/>
        <v/>
      </c>
    </row>
    <row r="37" spans="1:21" ht="15">
      <c r="A37" s="1"/>
      <c r="B37" s="1"/>
      <c r="C37" s="1"/>
      <c r="D37" s="1"/>
      <c r="E37" s="1" t="str">
        <f t="shared" si="5"/>
        <v/>
      </c>
      <c r="F37" s="3" t="str">
        <f t="shared" si="6"/>
        <v/>
      </c>
      <c r="G37" s="3" t="str">
        <f t="shared" si="7"/>
        <v/>
      </c>
      <c r="H37" s="3" t="str">
        <f t="shared" si="8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 t="str">
        <f t="shared" si="9"/>
        <v/>
      </c>
    </row>
    <row r="38" spans="1:21" ht="15">
      <c r="A38" s="1"/>
      <c r="B38" s="1"/>
      <c r="C38" s="1"/>
      <c r="D38" s="1"/>
      <c r="E38" s="1" t="str">
        <f t="shared" si="5"/>
        <v/>
      </c>
      <c r="F38" s="3" t="str">
        <f t="shared" si="6"/>
        <v/>
      </c>
      <c r="G38" s="3" t="str">
        <f t="shared" si="7"/>
        <v/>
      </c>
      <c r="H38" s="3" t="str">
        <f t="shared" si="8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 t="str">
        <f t="shared" si="9"/>
        <v/>
      </c>
    </row>
    <row r="39" spans="1:21" ht="15">
      <c r="A39" s="1"/>
      <c r="B39" s="1"/>
      <c r="C39" s="1"/>
      <c r="D39" s="1"/>
      <c r="E39" s="1" t="str">
        <f t="shared" si="5"/>
        <v/>
      </c>
      <c r="F39" s="3" t="str">
        <f t="shared" si="6"/>
        <v/>
      </c>
      <c r="G39" s="3" t="str">
        <f t="shared" si="7"/>
        <v/>
      </c>
      <c r="H39" s="3" t="str">
        <f t="shared" si="8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str">
        <f t="shared" si="9"/>
        <v/>
      </c>
    </row>
    <row r="40" spans="1:21" ht="15">
      <c r="A40" s="1"/>
      <c r="B40" s="1"/>
      <c r="C40" s="1"/>
      <c r="D40" s="1"/>
      <c r="E40" s="1" t="str">
        <f t="shared" si="5"/>
        <v/>
      </c>
      <c r="F40" s="3" t="str">
        <f t="shared" si="6"/>
        <v/>
      </c>
      <c r="G40" s="3" t="str">
        <f t="shared" si="7"/>
        <v/>
      </c>
      <c r="H40" s="3" t="str">
        <f t="shared" si="8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 t="str">
        <f t="shared" si="9"/>
        <v/>
      </c>
    </row>
    <row r="41" spans="1:21" ht="15">
      <c r="A41" s="1"/>
      <c r="B41" s="1"/>
      <c r="C41" s="1"/>
      <c r="D41" s="1"/>
      <c r="E41" s="1" t="str">
        <f t="shared" si="5"/>
        <v/>
      </c>
      <c r="F41" s="3" t="str">
        <f t="shared" si="6"/>
        <v/>
      </c>
      <c r="G41" s="3" t="str">
        <f t="shared" si="7"/>
        <v/>
      </c>
      <c r="H41" s="3" t="str">
        <f t="shared" si="8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 t="str">
        <f t="shared" si="9"/>
        <v/>
      </c>
    </row>
    <row r="42" spans="1:21" ht="15">
      <c r="A42" s="1"/>
      <c r="B42" s="1"/>
      <c r="C42" s="1"/>
      <c r="D42" s="1"/>
      <c r="E42" s="1" t="str">
        <f t="shared" si="5"/>
        <v/>
      </c>
      <c r="F42" s="3" t="str">
        <f t="shared" si="6"/>
        <v/>
      </c>
      <c r="G42" s="3" t="str">
        <f t="shared" si="7"/>
        <v/>
      </c>
      <c r="H42" s="3" t="str">
        <f t="shared" si="8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 t="str">
        <f t="shared" si="9"/>
        <v/>
      </c>
    </row>
    <row r="43" spans="1:21" ht="15">
      <c r="A43" s="1"/>
      <c r="B43" s="1"/>
      <c r="C43" s="1"/>
      <c r="D43" s="1"/>
      <c r="E43" s="1" t="str">
        <f t="shared" si="5"/>
        <v/>
      </c>
      <c r="F43" s="3" t="str">
        <f t="shared" si="6"/>
        <v/>
      </c>
      <c r="G43" s="3" t="str">
        <f t="shared" si="7"/>
        <v/>
      </c>
      <c r="H43" s="3" t="str">
        <f t="shared" si="8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 t="str">
        <f t="shared" si="9"/>
        <v/>
      </c>
    </row>
    <row r="44" spans="1:21" ht="15">
      <c r="A44" s="1"/>
      <c r="B44" s="1"/>
      <c r="C44" s="1"/>
      <c r="D44" s="1"/>
      <c r="E44" s="1" t="str">
        <f t="shared" si="5"/>
        <v/>
      </c>
      <c r="F44" s="3" t="str">
        <f t="shared" si="6"/>
        <v/>
      </c>
      <c r="G44" s="3" t="str">
        <f t="shared" si="7"/>
        <v/>
      </c>
      <c r="H44" s="3" t="str">
        <f t="shared" si="8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 t="str">
        <f t="shared" si="9"/>
        <v/>
      </c>
    </row>
    <row r="45" spans="1:21" ht="15">
      <c r="A45" s="1"/>
      <c r="B45" s="1"/>
      <c r="C45" s="1"/>
      <c r="D45" s="1"/>
      <c r="E45" s="1" t="str">
        <f t="shared" si="5"/>
        <v/>
      </c>
      <c r="F45" s="3" t="str">
        <f t="shared" si="6"/>
        <v/>
      </c>
      <c r="G45" s="3" t="str">
        <f t="shared" si="7"/>
        <v/>
      </c>
      <c r="H45" s="3" t="str">
        <f t="shared" si="8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 t="str">
        <f t="shared" si="9"/>
        <v/>
      </c>
    </row>
    <row r="46" spans="1:21" ht="15">
      <c r="A46" s="1"/>
      <c r="B46" s="1"/>
      <c r="C46" s="1"/>
      <c r="D46" s="1"/>
      <c r="E46" s="1" t="str">
        <f t="shared" si="5"/>
        <v/>
      </c>
      <c r="F46" s="3" t="str">
        <f t="shared" si="6"/>
        <v/>
      </c>
      <c r="G46" s="3" t="str">
        <f t="shared" si="7"/>
        <v/>
      </c>
      <c r="H46" s="3" t="str">
        <f t="shared" si="8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 t="str">
        <f t="shared" si="9"/>
        <v/>
      </c>
    </row>
    <row r="47" spans="1:21" ht="15">
      <c r="A47" s="1"/>
      <c r="B47" s="1"/>
      <c r="C47" s="1"/>
      <c r="D47" s="1"/>
      <c r="E47" s="1" t="str">
        <f t="shared" si="5"/>
        <v/>
      </c>
      <c r="F47" s="3" t="str">
        <f t="shared" si="6"/>
        <v/>
      </c>
      <c r="G47" s="3" t="str">
        <f t="shared" si="7"/>
        <v/>
      </c>
      <c r="H47" s="3" t="str">
        <f t="shared" si="8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 t="str">
        <f t="shared" si="9"/>
        <v/>
      </c>
    </row>
    <row r="48" spans="1:21" ht="15">
      <c r="A48" s="1"/>
      <c r="B48" s="1"/>
      <c r="C48" s="1"/>
      <c r="D48" s="1"/>
      <c r="E48" s="1" t="str">
        <f t="shared" si="5"/>
        <v/>
      </c>
      <c r="F48" s="3" t="str">
        <f t="shared" si="6"/>
        <v/>
      </c>
      <c r="G48" s="3" t="str">
        <f t="shared" si="7"/>
        <v/>
      </c>
      <c r="H48" s="3" t="str">
        <f t="shared" si="8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 t="str">
        <f t="shared" si="9"/>
        <v/>
      </c>
    </row>
    <row r="49" spans="1:21" ht="15">
      <c r="A49" s="1"/>
      <c r="B49" s="1"/>
      <c r="C49" s="1"/>
      <c r="D49" s="1"/>
      <c r="E49" s="1" t="str">
        <f t="shared" si="5"/>
        <v/>
      </c>
      <c r="F49" s="3" t="str">
        <f t="shared" si="6"/>
        <v/>
      </c>
      <c r="G49" s="3" t="str">
        <f t="shared" si="7"/>
        <v/>
      </c>
      <c r="H49" s="3" t="str">
        <f t="shared" si="8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str">
        <f t="shared" si="9"/>
        <v/>
      </c>
    </row>
    <row r="50" spans="1:21" ht="15">
      <c r="A50" s="1"/>
      <c r="B50" s="1"/>
      <c r="C50" s="1"/>
      <c r="D50" s="1"/>
      <c r="E50" s="1" t="str">
        <f t="shared" si="5"/>
        <v/>
      </c>
      <c r="F50" s="3" t="str">
        <f t="shared" si="6"/>
        <v/>
      </c>
      <c r="G50" s="3" t="str">
        <f t="shared" si="7"/>
        <v/>
      </c>
      <c r="H50" s="3" t="str">
        <f t="shared" si="8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 t="str">
        <f t="shared" si="9"/>
        <v/>
      </c>
    </row>
    <row r="51" spans="1:21" ht="15">
      <c r="A51" s="1"/>
      <c r="B51" s="1"/>
      <c r="C51" s="1"/>
      <c r="D51" s="1"/>
      <c r="E51" s="1" t="str">
        <f t="shared" si="5"/>
        <v/>
      </c>
      <c r="F51" s="3" t="str">
        <f t="shared" si="6"/>
        <v/>
      </c>
      <c r="G51" s="3" t="str">
        <f t="shared" si="7"/>
        <v/>
      </c>
      <c r="H51" s="3" t="str">
        <f t="shared" si="8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 t="str">
        <f t="shared" si="9"/>
        <v/>
      </c>
    </row>
  </sheetData>
  <conditionalFormatting sqref="D2:D51">
    <cfRule type="expression" dxfId="61" priority="1">
      <formula>D2="Residual"</formula>
    </cfRule>
  </conditionalFormatting>
  <conditionalFormatting sqref="E2:E51">
    <cfRule type="expression" dxfId="60" priority="2">
      <formula>E2="Critical"</formula>
    </cfRule>
    <cfRule type="expression" dxfId="59" priority="3">
      <formula>E2="High"</formula>
    </cfRule>
    <cfRule type="expression" dxfId="58" priority="4">
      <formula>E2="Medium"</formula>
    </cfRule>
    <cfRule type="expression" dxfId="57" priority="5">
      <formula>E2="Low"</formula>
    </cfRule>
    <cfRule type="expression" dxfId="56" priority="6">
      <formula>E2="Note"</formula>
    </cfRule>
  </conditionalFormatting>
  <conditionalFormatting sqref="J2:J51">
    <cfRule type="expression" dxfId="55" priority="7">
      <formula>AND($D2="Residual",I2&lt;&gt;"",J2="")</formula>
    </cfRule>
  </conditionalFormatting>
  <conditionalFormatting sqref="L2:L51">
    <cfRule type="expression" dxfId="54" priority="8">
      <formula>AND($D2="Residual",K2&lt;&gt;"",L2="")</formula>
    </cfRule>
  </conditionalFormatting>
  <conditionalFormatting sqref="N2:N51">
    <cfRule type="expression" dxfId="53" priority="9">
      <formula>AND($D2="Residual",M2&lt;&gt;"",N2="")</formula>
    </cfRule>
  </conditionalFormatting>
  <conditionalFormatting sqref="P2:P51">
    <cfRule type="expression" dxfId="52" priority="10">
      <formula>AND($D2="Residual",O2&lt;&gt;"",P2="")</formula>
    </cfRule>
  </conditionalFormatting>
  <conditionalFormatting sqref="R2:R51">
    <cfRule type="expression" dxfId="51" priority="11">
      <formula>AND($D2="Residual",Q2&lt;&gt;"",R2="")</formula>
    </cfRule>
  </conditionalFormatting>
  <conditionalFormatting sqref="T2:T51">
    <cfRule type="expression" dxfId="50" priority="12">
      <formula>AND($D2="Residual",S2&lt;&gt;"",T2="")</formula>
    </cfRule>
  </conditionalFormatting>
  <dataValidations count="7">
    <dataValidation type="list" sqref="D2:D51" xr:uid="{00000000-0002-0000-0100-000000000000}">
      <formula1>Risk_State</formula1>
    </dataValidation>
    <dataValidation type="list" sqref="I2:I51" xr:uid="{00000000-0002-0000-0100-000001000000}">
      <formula1>CVSS2_AV</formula1>
    </dataValidation>
    <dataValidation type="list" sqref="K2:K51" xr:uid="{00000000-0002-0000-0100-000002000000}">
      <formula1>CVSS2_AC</formula1>
    </dataValidation>
    <dataValidation type="list" sqref="M2:M51" xr:uid="{00000000-0002-0000-0100-000003000000}">
      <formula1>CVSS2_Au</formula1>
    </dataValidation>
    <dataValidation type="list" sqref="O2:O51" xr:uid="{00000000-0002-0000-0100-000004000000}">
      <formula1>CVSS2_C</formula1>
    </dataValidation>
    <dataValidation type="list" sqref="Q2:Q51" xr:uid="{00000000-0002-0000-0100-000005000000}">
      <formula1>CVSS2_I</formula1>
    </dataValidation>
    <dataValidation type="list" sqref="S2:S51" xr:uid="{00000000-0002-0000-0100-000006000000}">
      <formula1>CVSS2_A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  <col min="22" max="22" width="30" customWidth="1"/>
    <col min="23" max="23" width="18" customWidth="1"/>
    <col min="24" max="24" width="30" customWidth="1"/>
    <col min="25" max="25" width="18" customWidth="1"/>
  </cols>
  <sheetData>
    <row r="1" spans="1:25" ht="1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103</v>
      </c>
      <c r="J1" s="2" t="s">
        <v>64</v>
      </c>
      <c r="K1" s="2" t="s">
        <v>104</v>
      </c>
      <c r="L1" s="2" t="s">
        <v>66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</row>
    <row r="2" spans="1:25" ht="46">
      <c r="A2" s="5" t="s">
        <v>18</v>
      </c>
      <c r="B2" s="1" t="s">
        <v>19</v>
      </c>
      <c r="C2" s="1" t="s">
        <v>20</v>
      </c>
      <c r="D2" s="1" t="s">
        <v>21</v>
      </c>
      <c r="E2" s="1" t="str">
        <f t="shared" ref="E2:E33" si="0">IF(H2="","",IF(H2=0,"None",IF(H2&lt;4,"Low",IF(H2&lt;7,"Medium",IF(H2&lt;9,"High","Critical")))))</f>
        <v>Critical</v>
      </c>
      <c r="F2" s="3">
        <f t="shared" ref="F2:F33" si="1">IF(COUNTA(Q2,S2,U2,W2)&lt;4,"",IF(Q2="Unchanged (U)",6.42*(1-(1-_xlfn.XLOOKUP(S2,CVSS30_C,CVSS30_C_Value,""))*(1-_xlfn.XLOOKUP(U2,CVSS30_I,CVSS30_I_Value,""))*(1-_xlfn.XLOOKUP(W2,CVSS30_A,CVSS30_A_Value,""))),7.52*((1-(1-_xlfn.XLOOKUP(S2,CVSS30_C,CVSS30_C_Value,""))*(1-_xlfn.XLOOKUP(U2,CVSS30_I,CVSS30_I_Value,""))*(1-_xlfn.XLOOKUP(W2,CVSS30_A,CVSS30_A_Value,"")))-0.029)-3.25*((1-(1-_xlfn.XLOOKUP(S2,CVSS30_C,CVSS30_C_Value,""))*(1-_xlfn.XLOOKUP(U2,CVSS30_I,CVSS30_I_Value,""))*(1-_xlfn.XLOOKUP(W2,CVSS30_A,CVSS30_A_Value,"")))-0.02)^15))</f>
        <v>5.4505286399999999</v>
      </c>
      <c r="G2" s="3">
        <f t="shared" ref="G2:G33" si="2">IF(COUNTA(I2,K2,M2,O2,Q2)&lt;5,"",8.22*_xlfn.XLOOKUP(I2,CVSS30_AV,CVSS30_AV_Value,"")*_xlfn.XLOOKUP(K2,CVSS30_AC,CVSS30_AC_Value,"")*(IF(M2="None (N)",0.85,IF(M2="Low (L)",IF(Q2="Changed (C)",0.68,0.62),IF(M2="High (H)",IF(Q2="Changed (C)",0.5,0.27),""))))*_xlfn.XLOOKUP(O2,CVSS30_UI,CVSS30_UI_Value,""))</f>
        <v>3.8870427750000003</v>
      </c>
      <c r="H2" s="3">
        <f t="shared" ref="H2:H33" si="3">IF(OR(F2="",G2=""),"",IF(F2&lt;=0,0,IF(Q2="Unchanged (U)",ROUNDUP(MIN(F2+G2,10),1),ROUNDUP(MIN(1.08*(F2+G2),10),1))))</f>
        <v>9.4</v>
      </c>
      <c r="I2" s="1" t="s">
        <v>76</v>
      </c>
      <c r="J2" s="1" t="s">
        <v>111</v>
      </c>
      <c r="K2" s="1" t="s">
        <v>78</v>
      </c>
      <c r="L2" s="1" t="s">
        <v>112</v>
      </c>
      <c r="M2" s="1" t="s">
        <v>80</v>
      </c>
      <c r="N2" s="1" t="s">
        <v>113</v>
      </c>
      <c r="O2" s="1" t="s">
        <v>80</v>
      </c>
      <c r="P2" s="1" t="s">
        <v>114</v>
      </c>
      <c r="Q2" s="1" t="s">
        <v>115</v>
      </c>
      <c r="R2" s="1" t="s">
        <v>116</v>
      </c>
      <c r="S2" s="1" t="s">
        <v>117</v>
      </c>
      <c r="T2" s="1" t="s">
        <v>118</v>
      </c>
      <c r="U2" s="1" t="s">
        <v>117</v>
      </c>
      <c r="V2" s="1" t="s">
        <v>119</v>
      </c>
      <c r="W2" s="1" t="s">
        <v>78</v>
      </c>
      <c r="X2" s="1" t="s">
        <v>120</v>
      </c>
      <c r="Y2" s="1" t="str">
        <f t="shared" ref="Y2:Y33" si="4">IF(COUNTA(I2,K2,M2,O2,Q2,S2,U2,W2)&lt;8,"","CVSS:3.0/AV:"&amp;_xlfn.XLOOKUP(I2,CVSS30_AV,CVSS30_AV_Code,"")&amp;"/AC:"&amp;_xlfn.XLOOKUP(K2,CVSS30_AC,CVSS30_AC_Code,"")&amp;"/PR:"&amp;_xlfn.XLOOKUP(M2,CVSS30_PR,CVSS30_PR_Code,"")&amp;"/UI:"&amp;_xlfn.XLOOKUP(O2,CVSS30_UI,CVSS30_UI_Code,"")&amp;"/S:"&amp;_xlfn.XLOOKUP(Q2,CVSS30_S,CVSS30_S_Code,"")&amp;"/C:"&amp;_xlfn.XLOOKUP(S2,CVSS30_C,CVSS30_C_Code,"")&amp;"/I:"&amp;_xlfn.XLOOKUP(U2,CVSS30_I,CVSS30_I_Code,"")&amp;"/A:"&amp;_xlfn.XLOOKUP(W2,CVSS30_A,CVSS30_A_Code,""))</f>
        <v>CVSS:3.0/AV:N/AC:L/PR:N/UI:N/S:U/C:H/I:H/A:L</v>
      </c>
    </row>
    <row r="3" spans="1:25" ht="46">
      <c r="A3" s="5" t="s">
        <v>18</v>
      </c>
      <c r="B3" s="1" t="s">
        <v>19</v>
      </c>
      <c r="C3" s="1" t="s">
        <v>20</v>
      </c>
      <c r="D3" s="1" t="s">
        <v>32</v>
      </c>
      <c r="E3" s="1" t="str">
        <f t="shared" si="0"/>
        <v>Critical</v>
      </c>
      <c r="F3" s="3">
        <f t="shared" si="1"/>
        <v>5.4505286399999999</v>
      </c>
      <c r="G3" s="3">
        <f t="shared" si="2"/>
        <v>3.8870427750000003</v>
      </c>
      <c r="H3" s="3">
        <f t="shared" si="3"/>
        <v>9.4</v>
      </c>
      <c r="I3" s="1" t="s">
        <v>76</v>
      </c>
      <c r="J3" s="1" t="s">
        <v>87</v>
      </c>
      <c r="K3" s="1" t="s">
        <v>78</v>
      </c>
      <c r="L3" s="1" t="s">
        <v>121</v>
      </c>
      <c r="M3" s="1" t="s">
        <v>80</v>
      </c>
      <c r="N3" s="1" t="s">
        <v>122</v>
      </c>
      <c r="O3" s="1" t="s">
        <v>80</v>
      </c>
      <c r="P3" s="1" t="s">
        <v>123</v>
      </c>
      <c r="Q3" s="1" t="s">
        <v>115</v>
      </c>
      <c r="R3" s="1" t="s">
        <v>102</v>
      </c>
      <c r="S3" s="1" t="s">
        <v>117</v>
      </c>
      <c r="T3" s="1" t="s">
        <v>124</v>
      </c>
      <c r="U3" s="1" t="s">
        <v>117</v>
      </c>
      <c r="V3" s="1" t="s">
        <v>124</v>
      </c>
      <c r="W3" s="1" t="s">
        <v>78</v>
      </c>
      <c r="X3" s="1" t="s">
        <v>102</v>
      </c>
      <c r="Y3" s="1" t="str">
        <f t="shared" si="4"/>
        <v>CVSS:3.0/AV:N/AC:L/PR:N/UI:N/S:U/C:H/I:H/A:L</v>
      </c>
    </row>
    <row r="4" spans="1:25" ht="61">
      <c r="A4" s="5" t="s">
        <v>43</v>
      </c>
      <c r="B4" s="1" t="s">
        <v>44</v>
      </c>
      <c r="C4" s="1" t="s">
        <v>45</v>
      </c>
      <c r="D4" s="1" t="s">
        <v>21</v>
      </c>
      <c r="E4" s="1" t="str">
        <f t="shared" si="0"/>
        <v>Medium</v>
      </c>
      <c r="F4" s="3">
        <f t="shared" si="1"/>
        <v>2.7267508438373347</v>
      </c>
      <c r="G4" s="3">
        <f t="shared" si="2"/>
        <v>2.2682037840000002</v>
      </c>
      <c r="H4" s="3">
        <f t="shared" si="3"/>
        <v>5.3999999999999995</v>
      </c>
      <c r="I4" s="1" t="s">
        <v>76</v>
      </c>
      <c r="J4" s="1" t="s">
        <v>125</v>
      </c>
      <c r="K4" s="1" t="s">
        <v>78</v>
      </c>
      <c r="L4" s="1" t="s">
        <v>126</v>
      </c>
      <c r="M4" s="1" t="s">
        <v>78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78</v>
      </c>
      <c r="T4" s="1" t="s">
        <v>132</v>
      </c>
      <c r="U4" s="1" t="s">
        <v>78</v>
      </c>
      <c r="V4" s="1" t="s">
        <v>133</v>
      </c>
      <c r="W4" s="1" t="s">
        <v>80</v>
      </c>
      <c r="X4" s="1" t="s">
        <v>134</v>
      </c>
      <c r="Y4" s="1" t="str">
        <f t="shared" si="4"/>
        <v>CVSS:3.0/AV:N/AC:L/PR:L/UI:R/S:C/C:L/I:L/A:N</v>
      </c>
    </row>
    <row r="5" spans="1:25" ht="61">
      <c r="A5" s="5" t="s">
        <v>43</v>
      </c>
      <c r="B5" s="1" t="s">
        <v>44</v>
      </c>
      <c r="C5" s="1" t="s">
        <v>45</v>
      </c>
      <c r="D5" s="1" t="s">
        <v>32</v>
      </c>
      <c r="E5" s="1" t="str">
        <f t="shared" si="0"/>
        <v>Medium</v>
      </c>
      <c r="F5" s="3">
        <f t="shared" si="1"/>
        <v>2.7267508438373347</v>
      </c>
      <c r="G5" s="3">
        <f t="shared" si="2"/>
        <v>2.2682037840000002</v>
      </c>
      <c r="H5" s="3">
        <f t="shared" si="3"/>
        <v>5.3999999999999995</v>
      </c>
      <c r="I5" s="1" t="s">
        <v>76</v>
      </c>
      <c r="J5" s="1" t="s">
        <v>98</v>
      </c>
      <c r="K5" s="1" t="s">
        <v>78</v>
      </c>
      <c r="L5" s="1" t="s">
        <v>135</v>
      </c>
      <c r="M5" s="1" t="s">
        <v>78</v>
      </c>
      <c r="N5" s="1" t="s">
        <v>136</v>
      </c>
      <c r="O5" s="1" t="s">
        <v>128</v>
      </c>
      <c r="P5" s="1" t="s">
        <v>137</v>
      </c>
      <c r="Q5" s="1" t="s">
        <v>130</v>
      </c>
      <c r="R5" s="1" t="s">
        <v>102</v>
      </c>
      <c r="S5" s="1" t="s">
        <v>78</v>
      </c>
      <c r="T5" s="1" t="s">
        <v>138</v>
      </c>
      <c r="U5" s="1" t="s">
        <v>78</v>
      </c>
      <c r="V5" s="1" t="s">
        <v>138</v>
      </c>
      <c r="W5" s="1" t="s">
        <v>80</v>
      </c>
      <c r="X5" s="1" t="s">
        <v>102</v>
      </c>
      <c r="Y5" s="1" t="str">
        <f t="shared" si="4"/>
        <v>CVSS:3.0/AV:N/AC:L/PR:L/UI:R/S:C/C:L/I:L/A:N</v>
      </c>
    </row>
    <row r="6" spans="1:25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tr">
        <f t="shared" si="4"/>
        <v/>
      </c>
    </row>
    <row r="7" spans="1:25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tr">
        <f t="shared" si="4"/>
        <v/>
      </c>
    </row>
    <row r="8" spans="1:25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 t="str">
        <f t="shared" si="4"/>
        <v/>
      </c>
    </row>
    <row r="9" spans="1:25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 t="str">
        <f t="shared" si="4"/>
        <v/>
      </c>
    </row>
    <row r="10" spans="1:25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tr">
        <f t="shared" si="4"/>
        <v/>
      </c>
    </row>
    <row r="11" spans="1:25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tr">
        <f t="shared" si="4"/>
        <v/>
      </c>
    </row>
    <row r="12" spans="1:25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tr">
        <f t="shared" si="4"/>
        <v/>
      </c>
    </row>
    <row r="13" spans="1:25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str">
        <f t="shared" si="4"/>
        <v/>
      </c>
    </row>
    <row r="14" spans="1:25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tr">
        <f t="shared" si="4"/>
        <v/>
      </c>
    </row>
    <row r="15" spans="1:25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tr">
        <f t="shared" si="4"/>
        <v/>
      </c>
    </row>
    <row r="16" spans="1:25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tr">
        <f t="shared" si="4"/>
        <v/>
      </c>
    </row>
    <row r="17" spans="1:25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tr">
        <f t="shared" si="4"/>
        <v/>
      </c>
    </row>
    <row r="18" spans="1:25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tr">
        <f t="shared" si="4"/>
        <v/>
      </c>
    </row>
    <row r="19" spans="1:25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tr">
        <f t="shared" si="4"/>
        <v/>
      </c>
    </row>
    <row r="20" spans="1:25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tr">
        <f t="shared" si="4"/>
        <v/>
      </c>
    </row>
    <row r="21" spans="1:25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tr">
        <f t="shared" si="4"/>
        <v/>
      </c>
    </row>
    <row r="22" spans="1:25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tr">
        <f t="shared" si="4"/>
        <v/>
      </c>
    </row>
    <row r="23" spans="1:25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tr">
        <f t="shared" si="4"/>
        <v/>
      </c>
    </row>
    <row r="24" spans="1:25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str">
        <f t="shared" si="4"/>
        <v/>
      </c>
    </row>
    <row r="25" spans="1:25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tr">
        <f t="shared" si="4"/>
        <v/>
      </c>
    </row>
    <row r="26" spans="1:25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 t="str">
        <f t="shared" si="4"/>
        <v/>
      </c>
    </row>
    <row r="27" spans="1:25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tr">
        <f t="shared" si="4"/>
        <v/>
      </c>
    </row>
    <row r="28" spans="1:25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 t="str">
        <f t="shared" si="4"/>
        <v/>
      </c>
    </row>
    <row r="29" spans="1:25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 t="str">
        <f t="shared" si="4"/>
        <v/>
      </c>
    </row>
    <row r="30" spans="1:25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 t="str">
        <f t="shared" si="4"/>
        <v/>
      </c>
    </row>
    <row r="31" spans="1:25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 t="str">
        <f t="shared" si="4"/>
        <v/>
      </c>
    </row>
    <row r="32" spans="1:25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 t="str">
        <f t="shared" si="4"/>
        <v/>
      </c>
    </row>
    <row r="33" spans="1:25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str">
        <f t="shared" si="4"/>
        <v/>
      </c>
    </row>
    <row r="34" spans="1:25" ht="15">
      <c r="A34" s="1"/>
      <c r="B34" s="1"/>
      <c r="C34" s="1"/>
      <c r="D34" s="1"/>
      <c r="E34" s="1" t="str">
        <f t="shared" ref="E34:E51" si="5">IF(H34="","",IF(H34=0,"None",IF(H34&lt;4,"Low",IF(H34&lt;7,"Medium",IF(H34&lt;9,"High","Critical")))))</f>
        <v/>
      </c>
      <c r="F34" s="3" t="str">
        <f t="shared" ref="F34:F51" si="6">IF(COUNTA(Q34,S34,U34,W34)&lt;4,"",IF(Q34="Unchanged (U)",6.42*(1-(1-_xlfn.XLOOKUP(S34,CVSS30_C,CVSS30_C_Value,""))*(1-_xlfn.XLOOKUP(U34,CVSS30_I,CVSS30_I_Value,""))*(1-_xlfn.XLOOKUP(W34,CVSS30_A,CVSS30_A_Value,""))),7.52*((1-(1-_xlfn.XLOOKUP(S34,CVSS30_C,CVSS30_C_Value,""))*(1-_xlfn.XLOOKUP(U34,CVSS30_I,CVSS30_I_Value,""))*(1-_xlfn.XLOOKUP(W34,CVSS30_A,CVSS30_A_Value,"")))-0.029)-3.25*((1-(1-_xlfn.XLOOKUP(S34,CVSS30_C,CVSS30_C_Value,""))*(1-_xlfn.XLOOKUP(U34,CVSS30_I,CVSS30_I_Value,""))*(1-_xlfn.XLOOKUP(W34,CVSS30_A,CVSS30_A_Value,"")))-0.02)^15))</f>
        <v/>
      </c>
      <c r="G34" s="3" t="str">
        <f t="shared" ref="G34:G51" si="7">IF(COUNTA(I34,K34,M34,O34,Q34)&lt;5,"",8.22*_xlfn.XLOOKUP(I34,CVSS30_AV,CVSS30_AV_Value,"")*_xlfn.XLOOKUP(K34,CVSS30_AC,CVSS30_AC_Value,"")*(IF(M34="None (N)",0.85,IF(M34="Low (L)",IF(Q34="Changed (C)",0.68,0.62),IF(M34="High (H)",IF(Q34="Changed (C)",0.5,0.27),""))))*_xlfn.XLOOKUP(O34,CVSS30_UI,CVSS30_UI_Value,""))</f>
        <v/>
      </c>
      <c r="H34" s="3" t="str">
        <f t="shared" ref="H34:H51" si="8">IF(OR(F34="",G34=""),"",IF(F34&lt;=0,0,IF(Q34="Unchanged (U)",ROUNDUP(MIN(F34+G34,10),1),ROUNDUP(MIN(1.08*(F34+G34),10),1))))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tr">
        <f t="shared" ref="Y34:Y51" si="9">IF(COUNTA(I34,K34,M34,O34,Q34,S34,U34,W34)&lt;8,"","CVSS:3.0/AV:"&amp;_xlfn.XLOOKUP(I34,CVSS30_AV,CVSS30_AV_Code,"")&amp;"/AC:"&amp;_xlfn.XLOOKUP(K34,CVSS30_AC,CVSS30_AC_Code,"")&amp;"/PR:"&amp;_xlfn.XLOOKUP(M34,CVSS30_PR,CVSS30_PR_Code,"")&amp;"/UI:"&amp;_xlfn.XLOOKUP(O34,CVSS30_UI,CVSS30_UI_Code,"")&amp;"/S:"&amp;_xlfn.XLOOKUP(Q34,CVSS30_S,CVSS30_S_Code,"")&amp;"/C:"&amp;_xlfn.XLOOKUP(S34,CVSS30_C,CVSS30_C_Code,"")&amp;"/I:"&amp;_xlfn.XLOOKUP(U34,CVSS30_I,CVSS30_I_Code,"")&amp;"/A:"&amp;_xlfn.XLOOKUP(W34,CVSS30_A,CVSS30_A_Code,""))</f>
        <v/>
      </c>
    </row>
    <row r="35" spans="1:25" ht="15">
      <c r="A35" s="1"/>
      <c r="B35" s="1"/>
      <c r="C35" s="1"/>
      <c r="D35" s="1"/>
      <c r="E35" s="1" t="str">
        <f t="shared" si="5"/>
        <v/>
      </c>
      <c r="F35" s="3" t="str">
        <f t="shared" si="6"/>
        <v/>
      </c>
      <c r="G35" s="3" t="str">
        <f t="shared" si="7"/>
        <v/>
      </c>
      <c r="H35" s="3" t="str">
        <f t="shared" si="8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 t="str">
        <f t="shared" si="9"/>
        <v/>
      </c>
    </row>
    <row r="36" spans="1:25" ht="15">
      <c r="A36" s="1"/>
      <c r="B36" s="1"/>
      <c r="C36" s="1"/>
      <c r="D36" s="1"/>
      <c r="E36" s="1" t="str">
        <f t="shared" si="5"/>
        <v/>
      </c>
      <c r="F36" s="3" t="str">
        <f t="shared" si="6"/>
        <v/>
      </c>
      <c r="G36" s="3" t="str">
        <f t="shared" si="7"/>
        <v/>
      </c>
      <c r="H36" s="3" t="str">
        <f t="shared" si="8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 t="str">
        <f t="shared" si="9"/>
        <v/>
      </c>
    </row>
    <row r="37" spans="1:25" ht="15">
      <c r="A37" s="1"/>
      <c r="B37" s="1"/>
      <c r="C37" s="1"/>
      <c r="D37" s="1"/>
      <c r="E37" s="1" t="str">
        <f t="shared" si="5"/>
        <v/>
      </c>
      <c r="F37" s="3" t="str">
        <f t="shared" si="6"/>
        <v/>
      </c>
      <c r="G37" s="3" t="str">
        <f t="shared" si="7"/>
        <v/>
      </c>
      <c r="H37" s="3" t="str">
        <f t="shared" si="8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 t="str">
        <f t="shared" si="9"/>
        <v/>
      </c>
    </row>
    <row r="38" spans="1:25" ht="15">
      <c r="A38" s="1"/>
      <c r="B38" s="1"/>
      <c r="C38" s="1"/>
      <c r="D38" s="1"/>
      <c r="E38" s="1" t="str">
        <f t="shared" si="5"/>
        <v/>
      </c>
      <c r="F38" s="3" t="str">
        <f t="shared" si="6"/>
        <v/>
      </c>
      <c r="G38" s="3" t="str">
        <f t="shared" si="7"/>
        <v/>
      </c>
      <c r="H38" s="3" t="str">
        <f t="shared" si="8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 t="str">
        <f t="shared" si="9"/>
        <v/>
      </c>
    </row>
    <row r="39" spans="1:25" ht="15">
      <c r="A39" s="1"/>
      <c r="B39" s="1"/>
      <c r="C39" s="1"/>
      <c r="D39" s="1"/>
      <c r="E39" s="1" t="str">
        <f t="shared" si="5"/>
        <v/>
      </c>
      <c r="F39" s="3" t="str">
        <f t="shared" si="6"/>
        <v/>
      </c>
      <c r="G39" s="3" t="str">
        <f t="shared" si="7"/>
        <v/>
      </c>
      <c r="H39" s="3" t="str">
        <f t="shared" si="8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str">
        <f t="shared" si="9"/>
        <v/>
      </c>
    </row>
    <row r="40" spans="1:25" ht="15">
      <c r="A40" s="1"/>
      <c r="B40" s="1"/>
      <c r="C40" s="1"/>
      <c r="D40" s="1"/>
      <c r="E40" s="1" t="str">
        <f t="shared" si="5"/>
        <v/>
      </c>
      <c r="F40" s="3" t="str">
        <f t="shared" si="6"/>
        <v/>
      </c>
      <c r="G40" s="3" t="str">
        <f t="shared" si="7"/>
        <v/>
      </c>
      <c r="H40" s="3" t="str">
        <f t="shared" si="8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 t="str">
        <f t="shared" si="9"/>
        <v/>
      </c>
    </row>
    <row r="41" spans="1:25" ht="15">
      <c r="A41" s="1"/>
      <c r="B41" s="1"/>
      <c r="C41" s="1"/>
      <c r="D41" s="1"/>
      <c r="E41" s="1" t="str">
        <f t="shared" si="5"/>
        <v/>
      </c>
      <c r="F41" s="3" t="str">
        <f t="shared" si="6"/>
        <v/>
      </c>
      <c r="G41" s="3" t="str">
        <f t="shared" si="7"/>
        <v/>
      </c>
      <c r="H41" s="3" t="str">
        <f t="shared" si="8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 t="str">
        <f t="shared" si="9"/>
        <v/>
      </c>
    </row>
    <row r="42" spans="1:25" ht="15">
      <c r="A42" s="1"/>
      <c r="B42" s="1"/>
      <c r="C42" s="1"/>
      <c r="D42" s="1"/>
      <c r="E42" s="1" t="str">
        <f t="shared" si="5"/>
        <v/>
      </c>
      <c r="F42" s="3" t="str">
        <f t="shared" si="6"/>
        <v/>
      </c>
      <c r="G42" s="3" t="str">
        <f t="shared" si="7"/>
        <v/>
      </c>
      <c r="H42" s="3" t="str">
        <f t="shared" si="8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str">
        <f t="shared" si="9"/>
        <v/>
      </c>
    </row>
    <row r="43" spans="1:25" ht="15">
      <c r="A43" s="1"/>
      <c r="B43" s="1"/>
      <c r="C43" s="1"/>
      <c r="D43" s="1"/>
      <c r="E43" s="1" t="str">
        <f t="shared" si="5"/>
        <v/>
      </c>
      <c r="F43" s="3" t="str">
        <f t="shared" si="6"/>
        <v/>
      </c>
      <c r="G43" s="3" t="str">
        <f t="shared" si="7"/>
        <v/>
      </c>
      <c r="H43" s="3" t="str">
        <f t="shared" si="8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str">
        <f t="shared" si="9"/>
        <v/>
      </c>
    </row>
    <row r="44" spans="1:25" ht="15">
      <c r="A44" s="1"/>
      <c r="B44" s="1"/>
      <c r="C44" s="1"/>
      <c r="D44" s="1"/>
      <c r="E44" s="1" t="str">
        <f t="shared" si="5"/>
        <v/>
      </c>
      <c r="F44" s="3" t="str">
        <f t="shared" si="6"/>
        <v/>
      </c>
      <c r="G44" s="3" t="str">
        <f t="shared" si="7"/>
        <v/>
      </c>
      <c r="H44" s="3" t="str">
        <f t="shared" si="8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str">
        <f t="shared" si="9"/>
        <v/>
      </c>
    </row>
    <row r="45" spans="1:25" ht="15">
      <c r="A45" s="1"/>
      <c r="B45" s="1"/>
      <c r="C45" s="1"/>
      <c r="D45" s="1"/>
      <c r="E45" s="1" t="str">
        <f t="shared" si="5"/>
        <v/>
      </c>
      <c r="F45" s="3" t="str">
        <f t="shared" si="6"/>
        <v/>
      </c>
      <c r="G45" s="3" t="str">
        <f t="shared" si="7"/>
        <v/>
      </c>
      <c r="H45" s="3" t="str">
        <f t="shared" si="8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 t="str">
        <f t="shared" si="9"/>
        <v/>
      </c>
    </row>
    <row r="46" spans="1:25" ht="15">
      <c r="A46" s="1"/>
      <c r="B46" s="1"/>
      <c r="C46" s="1"/>
      <c r="D46" s="1"/>
      <c r="E46" s="1" t="str">
        <f t="shared" si="5"/>
        <v/>
      </c>
      <c r="F46" s="3" t="str">
        <f t="shared" si="6"/>
        <v/>
      </c>
      <c r="G46" s="3" t="str">
        <f t="shared" si="7"/>
        <v/>
      </c>
      <c r="H46" s="3" t="str">
        <f t="shared" si="8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 t="str">
        <f t="shared" si="9"/>
        <v/>
      </c>
    </row>
    <row r="47" spans="1:25" ht="15">
      <c r="A47" s="1"/>
      <c r="B47" s="1"/>
      <c r="C47" s="1"/>
      <c r="D47" s="1"/>
      <c r="E47" s="1" t="str">
        <f t="shared" si="5"/>
        <v/>
      </c>
      <c r="F47" s="3" t="str">
        <f t="shared" si="6"/>
        <v/>
      </c>
      <c r="G47" s="3" t="str">
        <f t="shared" si="7"/>
        <v/>
      </c>
      <c r="H47" s="3" t="str">
        <f t="shared" si="8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 t="str">
        <f t="shared" si="9"/>
        <v/>
      </c>
    </row>
    <row r="48" spans="1:25" ht="15">
      <c r="A48" s="1"/>
      <c r="B48" s="1"/>
      <c r="C48" s="1"/>
      <c r="D48" s="1"/>
      <c r="E48" s="1" t="str">
        <f t="shared" si="5"/>
        <v/>
      </c>
      <c r="F48" s="3" t="str">
        <f t="shared" si="6"/>
        <v/>
      </c>
      <c r="G48" s="3" t="str">
        <f t="shared" si="7"/>
        <v/>
      </c>
      <c r="H48" s="3" t="str">
        <f t="shared" si="8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tr">
        <f t="shared" si="9"/>
        <v/>
      </c>
    </row>
    <row r="49" spans="1:25" ht="15">
      <c r="A49" s="1"/>
      <c r="B49" s="1"/>
      <c r="C49" s="1"/>
      <c r="D49" s="1"/>
      <c r="E49" s="1" t="str">
        <f t="shared" si="5"/>
        <v/>
      </c>
      <c r="F49" s="3" t="str">
        <f t="shared" si="6"/>
        <v/>
      </c>
      <c r="G49" s="3" t="str">
        <f t="shared" si="7"/>
        <v/>
      </c>
      <c r="H49" s="3" t="str">
        <f t="shared" si="8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tr">
        <f t="shared" si="9"/>
        <v/>
      </c>
    </row>
    <row r="50" spans="1:25" ht="15">
      <c r="A50" s="1"/>
      <c r="B50" s="1"/>
      <c r="C50" s="1"/>
      <c r="D50" s="1"/>
      <c r="E50" s="1" t="str">
        <f t="shared" si="5"/>
        <v/>
      </c>
      <c r="F50" s="3" t="str">
        <f t="shared" si="6"/>
        <v/>
      </c>
      <c r="G50" s="3" t="str">
        <f t="shared" si="7"/>
        <v/>
      </c>
      <c r="H50" s="3" t="str">
        <f t="shared" si="8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tr">
        <f t="shared" si="9"/>
        <v/>
      </c>
    </row>
    <row r="51" spans="1:25" ht="15">
      <c r="A51" s="1"/>
      <c r="B51" s="1"/>
      <c r="C51" s="1"/>
      <c r="D51" s="1"/>
      <c r="E51" s="1" t="str">
        <f t="shared" si="5"/>
        <v/>
      </c>
      <c r="F51" s="3" t="str">
        <f t="shared" si="6"/>
        <v/>
      </c>
      <c r="G51" s="3" t="str">
        <f t="shared" si="7"/>
        <v/>
      </c>
      <c r="H51" s="3" t="str">
        <f t="shared" si="8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 t="str">
        <f t="shared" si="9"/>
        <v/>
      </c>
    </row>
  </sheetData>
  <conditionalFormatting sqref="D2:D51">
    <cfRule type="expression" dxfId="49" priority="1">
      <formula>D2="Residual"</formula>
    </cfRule>
  </conditionalFormatting>
  <conditionalFormatting sqref="E2:E51">
    <cfRule type="expression" dxfId="48" priority="2">
      <formula>E2="Critical"</formula>
    </cfRule>
    <cfRule type="expression" dxfId="47" priority="3">
      <formula>E2="High"</formula>
    </cfRule>
    <cfRule type="expression" dxfId="46" priority="4">
      <formula>E2="Medium"</formula>
    </cfRule>
    <cfRule type="expression" dxfId="45" priority="5">
      <formula>E2="Low"</formula>
    </cfRule>
    <cfRule type="expression" dxfId="44" priority="6">
      <formula>E2="Note"</formula>
    </cfRule>
  </conditionalFormatting>
  <conditionalFormatting sqref="J2:J51">
    <cfRule type="expression" dxfId="43" priority="7">
      <formula>AND($D2="Residual",I2&lt;&gt;"",J2="")</formula>
    </cfRule>
  </conditionalFormatting>
  <conditionalFormatting sqref="L2:L51">
    <cfRule type="expression" dxfId="42" priority="8">
      <formula>AND($D2="Residual",K2&lt;&gt;"",L2="")</formula>
    </cfRule>
  </conditionalFormatting>
  <conditionalFormatting sqref="N2:N51">
    <cfRule type="expression" dxfId="41" priority="9">
      <formula>AND($D2="Residual",M2&lt;&gt;"",N2="")</formula>
    </cfRule>
  </conditionalFormatting>
  <conditionalFormatting sqref="P2:P51">
    <cfRule type="expression" dxfId="40" priority="10">
      <formula>AND($D2="Residual",O2&lt;&gt;"",P2="")</formula>
    </cfRule>
  </conditionalFormatting>
  <conditionalFormatting sqref="R2:R51">
    <cfRule type="expression" dxfId="39" priority="11">
      <formula>AND($D2="Residual",Q2&lt;&gt;"",R2="")</formula>
    </cfRule>
  </conditionalFormatting>
  <conditionalFormatting sqref="T2:T51">
    <cfRule type="expression" dxfId="38" priority="12">
      <formula>AND($D2="Residual",S2&lt;&gt;"",T2="")</formula>
    </cfRule>
  </conditionalFormatting>
  <conditionalFormatting sqref="V2:V51">
    <cfRule type="expression" dxfId="37" priority="13">
      <formula>AND($D2="Residual",U2&lt;&gt;"",V2="")</formula>
    </cfRule>
  </conditionalFormatting>
  <conditionalFormatting sqref="X2:X51">
    <cfRule type="expression" dxfId="36" priority="14">
      <formula>AND($D2="Residual",W2&lt;&gt;"",X2="")</formula>
    </cfRule>
  </conditionalFormatting>
  <dataValidations count="9">
    <dataValidation type="list" sqref="D2:D51" xr:uid="{00000000-0002-0000-0200-000000000000}">
      <formula1>Risk_State</formula1>
    </dataValidation>
    <dataValidation type="list" sqref="I2:I51" xr:uid="{00000000-0002-0000-0200-000001000000}">
      <formula1>CVSS30_AV</formula1>
    </dataValidation>
    <dataValidation type="list" sqref="K2:K51" xr:uid="{00000000-0002-0000-0200-000002000000}">
      <formula1>CVSS30_AC</formula1>
    </dataValidation>
    <dataValidation type="list" sqref="M2:M51" xr:uid="{00000000-0002-0000-0200-000003000000}">
      <formula1>CVSS30_PR</formula1>
    </dataValidation>
    <dataValidation type="list" sqref="O2:O51" xr:uid="{00000000-0002-0000-0200-000004000000}">
      <formula1>CVSS30_UI</formula1>
    </dataValidation>
    <dataValidation type="list" sqref="Q2:Q51" xr:uid="{00000000-0002-0000-0200-000005000000}">
      <formula1>CVSS30_S</formula1>
    </dataValidation>
    <dataValidation type="list" sqref="S2:S51" xr:uid="{00000000-0002-0000-0200-000006000000}">
      <formula1>CVSS30_C</formula1>
    </dataValidation>
    <dataValidation type="list" sqref="U2:U51" xr:uid="{00000000-0002-0000-0200-000007000000}">
      <formula1>CVSS30_I</formula1>
    </dataValidation>
    <dataValidation type="list" sqref="W2:W51" xr:uid="{00000000-0002-0000-0200-000008000000}">
      <formula1>CVSS30_A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  <col min="22" max="22" width="30" customWidth="1"/>
    <col min="23" max="23" width="18" customWidth="1"/>
    <col min="24" max="24" width="30" customWidth="1"/>
    <col min="25" max="25" width="18" customWidth="1"/>
  </cols>
  <sheetData>
    <row r="1" spans="1:25" ht="1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103</v>
      </c>
      <c r="J1" s="2" t="s">
        <v>64</v>
      </c>
      <c r="K1" s="2" t="s">
        <v>104</v>
      </c>
      <c r="L1" s="2" t="s">
        <v>66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</row>
    <row r="2" spans="1:25" ht="46">
      <c r="A2" s="5" t="s">
        <v>18</v>
      </c>
      <c r="B2" s="1" t="s">
        <v>19</v>
      </c>
      <c r="C2" s="1" t="s">
        <v>20</v>
      </c>
      <c r="D2" s="1" t="s">
        <v>21</v>
      </c>
      <c r="E2" s="1" t="str">
        <f t="shared" ref="E2:E33" si="0">IF(H2="","",IF(H2=0,"None",IF(H2&lt;4,"Low",IF(H2&lt;7,"Medium",IF(H2&lt;9,"High","Critical")))))</f>
        <v>Critical</v>
      </c>
      <c r="F2" s="3">
        <f t="shared" ref="F2:F33" si="1">IF(COUNTA(Q2,S2,U2,W2)&lt;4,"",IF(Q2="Unchanged (U)",6.42*(1-(1-_xlfn.XLOOKUP(S2,CVSS31_C,CVSS31_C_Value,""))*(1-_xlfn.XLOOKUP(U2,CVSS31_I,CVSS31_I_Value,""))*(1-_xlfn.XLOOKUP(W2,CVSS31_A,CVSS31_A_Value,""))),7.52*((1-(1-_xlfn.XLOOKUP(S2,CVSS31_C,CVSS31_C_Value,""))*(1-_xlfn.XLOOKUP(U2,CVSS31_I,CVSS31_I_Value,""))*(1-_xlfn.XLOOKUP(W2,CVSS31_A,CVSS31_A_Value,"")))-0.029)-3.25*((1-(1-_xlfn.XLOOKUP(S2,CVSS31_C,CVSS31_C_Value,""))*(1-_xlfn.XLOOKUP(U2,CVSS31_I,CVSS31_I_Value,""))*(1-_xlfn.XLOOKUP(W2,CVSS31_A,CVSS31_A_Value,"")))-0.02)^15))</f>
        <v>5.4505286399999999</v>
      </c>
      <c r="G2" s="3">
        <f t="shared" ref="G2:G33" si="2">IF(COUNTA(I2,K2,M2,O2,Q2)&lt;5,"",8.22*_xlfn.XLOOKUP(I2,CVSS31_AV,CVSS31_AV_Value,"")*_xlfn.XLOOKUP(K2,CVSS31_AC,CVSS31_AC_Value,"")*(IF(M2="None (N)",0.85,IF(M2="Low (L)",IF(Q2="Changed (C)",0.68,0.62),IF(M2="High (H)",IF(Q2="Changed (C)",0.5,0.27),""))))*_xlfn.XLOOKUP(O2,CVSS31_UI,CVSS31_UI_Value,""))</f>
        <v>3.8870427750000003</v>
      </c>
      <c r="H2" s="3">
        <f t="shared" ref="H2:H33" si="3">IF(OR(F2="",G2=""),"",IF(F2&lt;=0,0,IF(Q2="Unchanged (U)",ROUNDUP(MIN(F2+G2,10),1),ROUNDUP(MIN(1.08*(F2+G2),10),1))))</f>
        <v>9.4</v>
      </c>
      <c r="I2" s="1" t="s">
        <v>76</v>
      </c>
      <c r="J2" s="1" t="s">
        <v>111</v>
      </c>
      <c r="K2" s="1" t="s">
        <v>78</v>
      </c>
      <c r="L2" s="1" t="s">
        <v>112</v>
      </c>
      <c r="M2" s="1" t="s">
        <v>80</v>
      </c>
      <c r="N2" s="1" t="s">
        <v>113</v>
      </c>
      <c r="O2" s="1" t="s">
        <v>80</v>
      </c>
      <c r="P2" s="1" t="s">
        <v>114</v>
      </c>
      <c r="Q2" s="1" t="s">
        <v>115</v>
      </c>
      <c r="R2" s="1" t="s">
        <v>116</v>
      </c>
      <c r="S2" s="1" t="s">
        <v>117</v>
      </c>
      <c r="T2" s="1" t="s">
        <v>118</v>
      </c>
      <c r="U2" s="1" t="s">
        <v>117</v>
      </c>
      <c r="V2" s="1" t="s">
        <v>119</v>
      </c>
      <c r="W2" s="1" t="s">
        <v>78</v>
      </c>
      <c r="X2" s="1" t="s">
        <v>120</v>
      </c>
      <c r="Y2" s="1" t="str">
        <f t="shared" ref="Y2:Y33" si="4">IF(COUNTA(I2,K2,M2,O2,Q2,S2,U2,W2)&lt;8,"","CVSS:3.1/AV:"&amp;_xlfn.XLOOKUP(I2,CVSS31_AV,CVSS31_AV_Code,"")&amp;"/AC:"&amp;_xlfn.XLOOKUP(K2,CVSS31_AC,CVSS31_AC_Code,"")&amp;"/PR:"&amp;_xlfn.XLOOKUP(M2,CVSS31_PR,CVSS31_PR_Code,"")&amp;"/UI:"&amp;_xlfn.XLOOKUP(O2,CVSS31_UI,CVSS31_UI_Code,"")&amp;"/S:"&amp;_xlfn.XLOOKUP(Q2,CVSS31_S,CVSS31_S_Code,"")&amp;"/C:"&amp;_xlfn.XLOOKUP(S2,CVSS31_C,CVSS31_C_Code,"")&amp;"/I:"&amp;_xlfn.XLOOKUP(U2,CVSS31_I,CVSS31_I_Code,"")&amp;"/A:"&amp;_xlfn.XLOOKUP(W2,CVSS31_A,CVSS31_A_Code,""))</f>
        <v>CVSS:3.1/AV:N/AC:L/PR:N/UI:N/S:U/C:H/I:H/A:L</v>
      </c>
    </row>
    <row r="3" spans="1:25" ht="46">
      <c r="A3" s="5" t="s">
        <v>18</v>
      </c>
      <c r="B3" s="1" t="s">
        <v>19</v>
      </c>
      <c r="C3" s="1" t="s">
        <v>20</v>
      </c>
      <c r="D3" s="1" t="s">
        <v>32</v>
      </c>
      <c r="E3" s="1" t="str">
        <f t="shared" si="0"/>
        <v>Critical</v>
      </c>
      <c r="F3" s="3">
        <f t="shared" si="1"/>
        <v>5.4505286399999999</v>
      </c>
      <c r="G3" s="3">
        <f t="shared" si="2"/>
        <v>3.8870427750000003</v>
      </c>
      <c r="H3" s="3">
        <f t="shared" si="3"/>
        <v>9.4</v>
      </c>
      <c r="I3" s="1" t="s">
        <v>76</v>
      </c>
      <c r="J3" s="1" t="s">
        <v>87</v>
      </c>
      <c r="K3" s="1" t="s">
        <v>78</v>
      </c>
      <c r="L3" s="1" t="s">
        <v>121</v>
      </c>
      <c r="M3" s="1" t="s">
        <v>80</v>
      </c>
      <c r="N3" s="1" t="s">
        <v>122</v>
      </c>
      <c r="O3" s="1" t="s">
        <v>80</v>
      </c>
      <c r="P3" s="1" t="s">
        <v>123</v>
      </c>
      <c r="Q3" s="1" t="s">
        <v>115</v>
      </c>
      <c r="R3" s="1" t="s">
        <v>102</v>
      </c>
      <c r="S3" s="1" t="s">
        <v>117</v>
      </c>
      <c r="T3" s="1" t="s">
        <v>124</v>
      </c>
      <c r="U3" s="1" t="s">
        <v>117</v>
      </c>
      <c r="V3" s="1" t="s">
        <v>124</v>
      </c>
      <c r="W3" s="1" t="s">
        <v>78</v>
      </c>
      <c r="X3" s="1" t="s">
        <v>102</v>
      </c>
      <c r="Y3" s="1" t="str">
        <f t="shared" si="4"/>
        <v>CVSS:3.1/AV:N/AC:L/PR:N/UI:N/S:U/C:H/I:H/A:L</v>
      </c>
    </row>
    <row r="4" spans="1:25" ht="61">
      <c r="A4" s="5" t="s">
        <v>43</v>
      </c>
      <c r="B4" s="1" t="s">
        <v>44</v>
      </c>
      <c r="C4" s="1" t="s">
        <v>45</v>
      </c>
      <c r="D4" s="1" t="s">
        <v>21</v>
      </c>
      <c r="E4" s="1" t="str">
        <f t="shared" si="0"/>
        <v>Medium</v>
      </c>
      <c r="F4" s="3">
        <f t="shared" si="1"/>
        <v>2.7267508438373347</v>
      </c>
      <c r="G4" s="3">
        <f t="shared" si="2"/>
        <v>2.2682037840000002</v>
      </c>
      <c r="H4" s="3">
        <f t="shared" si="3"/>
        <v>5.3999999999999995</v>
      </c>
      <c r="I4" s="1" t="s">
        <v>76</v>
      </c>
      <c r="J4" s="1" t="s">
        <v>125</v>
      </c>
      <c r="K4" s="1" t="s">
        <v>78</v>
      </c>
      <c r="L4" s="1" t="s">
        <v>126</v>
      </c>
      <c r="M4" s="1" t="s">
        <v>78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78</v>
      </c>
      <c r="T4" s="1" t="s">
        <v>132</v>
      </c>
      <c r="U4" s="1" t="s">
        <v>78</v>
      </c>
      <c r="V4" s="1" t="s">
        <v>133</v>
      </c>
      <c r="W4" s="1" t="s">
        <v>80</v>
      </c>
      <c r="X4" s="1" t="s">
        <v>134</v>
      </c>
      <c r="Y4" s="1" t="str">
        <f t="shared" si="4"/>
        <v>CVSS:3.1/AV:N/AC:L/PR:L/UI:R/S:C/C:L/I:L/A:N</v>
      </c>
    </row>
    <row r="5" spans="1:25" ht="61">
      <c r="A5" s="5" t="s">
        <v>43</v>
      </c>
      <c r="B5" s="1" t="s">
        <v>44</v>
      </c>
      <c r="C5" s="1" t="s">
        <v>45</v>
      </c>
      <c r="D5" s="1" t="s">
        <v>32</v>
      </c>
      <c r="E5" s="1" t="str">
        <f t="shared" si="0"/>
        <v>Medium</v>
      </c>
      <c r="F5" s="3">
        <f t="shared" si="1"/>
        <v>2.7267508438373347</v>
      </c>
      <c r="G5" s="3">
        <f t="shared" si="2"/>
        <v>2.2682037840000002</v>
      </c>
      <c r="H5" s="3">
        <f t="shared" si="3"/>
        <v>5.3999999999999995</v>
      </c>
      <c r="I5" s="1" t="s">
        <v>76</v>
      </c>
      <c r="J5" s="1" t="s">
        <v>98</v>
      </c>
      <c r="K5" s="1" t="s">
        <v>78</v>
      </c>
      <c r="L5" s="1" t="s">
        <v>135</v>
      </c>
      <c r="M5" s="1" t="s">
        <v>78</v>
      </c>
      <c r="N5" s="1" t="s">
        <v>136</v>
      </c>
      <c r="O5" s="1" t="s">
        <v>128</v>
      </c>
      <c r="P5" s="1" t="s">
        <v>137</v>
      </c>
      <c r="Q5" s="1" t="s">
        <v>130</v>
      </c>
      <c r="R5" s="1" t="s">
        <v>102</v>
      </c>
      <c r="S5" s="1" t="s">
        <v>78</v>
      </c>
      <c r="T5" s="1" t="s">
        <v>138</v>
      </c>
      <c r="U5" s="1" t="s">
        <v>78</v>
      </c>
      <c r="V5" s="1" t="s">
        <v>138</v>
      </c>
      <c r="W5" s="1" t="s">
        <v>80</v>
      </c>
      <c r="X5" s="1" t="s">
        <v>102</v>
      </c>
      <c r="Y5" s="1" t="str">
        <f t="shared" si="4"/>
        <v>CVSS:3.1/AV:N/AC:L/PR:L/UI:R/S:C/C:L/I:L/A:N</v>
      </c>
    </row>
    <row r="6" spans="1:25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tr">
        <f t="shared" si="4"/>
        <v/>
      </c>
    </row>
    <row r="7" spans="1:25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tr">
        <f t="shared" si="4"/>
        <v/>
      </c>
    </row>
    <row r="8" spans="1:25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 t="str">
        <f t="shared" si="4"/>
        <v/>
      </c>
    </row>
    <row r="9" spans="1:25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 t="str">
        <f t="shared" si="4"/>
        <v/>
      </c>
    </row>
    <row r="10" spans="1:25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tr">
        <f t="shared" si="4"/>
        <v/>
      </c>
    </row>
    <row r="11" spans="1:25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tr">
        <f t="shared" si="4"/>
        <v/>
      </c>
    </row>
    <row r="12" spans="1:25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tr">
        <f t="shared" si="4"/>
        <v/>
      </c>
    </row>
    <row r="13" spans="1:25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str">
        <f t="shared" si="4"/>
        <v/>
      </c>
    </row>
    <row r="14" spans="1:25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tr">
        <f t="shared" si="4"/>
        <v/>
      </c>
    </row>
    <row r="15" spans="1:25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tr">
        <f t="shared" si="4"/>
        <v/>
      </c>
    </row>
    <row r="16" spans="1:25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tr">
        <f t="shared" si="4"/>
        <v/>
      </c>
    </row>
    <row r="17" spans="1:25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tr">
        <f t="shared" si="4"/>
        <v/>
      </c>
    </row>
    <row r="18" spans="1:25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tr">
        <f t="shared" si="4"/>
        <v/>
      </c>
    </row>
    <row r="19" spans="1:25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tr">
        <f t="shared" si="4"/>
        <v/>
      </c>
    </row>
    <row r="20" spans="1:25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tr">
        <f t="shared" si="4"/>
        <v/>
      </c>
    </row>
    <row r="21" spans="1:25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tr">
        <f t="shared" si="4"/>
        <v/>
      </c>
    </row>
    <row r="22" spans="1:25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tr">
        <f t="shared" si="4"/>
        <v/>
      </c>
    </row>
    <row r="23" spans="1:25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tr">
        <f t="shared" si="4"/>
        <v/>
      </c>
    </row>
    <row r="24" spans="1:25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str">
        <f t="shared" si="4"/>
        <v/>
      </c>
    </row>
    <row r="25" spans="1:25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tr">
        <f t="shared" si="4"/>
        <v/>
      </c>
    </row>
    <row r="26" spans="1:25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 t="str">
        <f t="shared" si="4"/>
        <v/>
      </c>
    </row>
    <row r="27" spans="1:25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tr">
        <f t="shared" si="4"/>
        <v/>
      </c>
    </row>
    <row r="28" spans="1:25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 t="str">
        <f t="shared" si="4"/>
        <v/>
      </c>
    </row>
    <row r="29" spans="1:25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 t="str">
        <f t="shared" si="4"/>
        <v/>
      </c>
    </row>
    <row r="30" spans="1:25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 t="str">
        <f t="shared" si="4"/>
        <v/>
      </c>
    </row>
    <row r="31" spans="1:25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 t="str">
        <f t="shared" si="4"/>
        <v/>
      </c>
    </row>
    <row r="32" spans="1:25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 t="str">
        <f t="shared" si="4"/>
        <v/>
      </c>
    </row>
    <row r="33" spans="1:25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str">
        <f t="shared" si="4"/>
        <v/>
      </c>
    </row>
    <row r="34" spans="1:25" ht="15">
      <c r="A34" s="1"/>
      <c r="B34" s="1"/>
      <c r="C34" s="1"/>
      <c r="D34" s="1"/>
      <c r="E34" s="1" t="str">
        <f t="shared" ref="E34:E51" si="5">IF(H34="","",IF(H34=0,"None",IF(H34&lt;4,"Low",IF(H34&lt;7,"Medium",IF(H34&lt;9,"High","Critical")))))</f>
        <v/>
      </c>
      <c r="F34" s="3" t="str">
        <f t="shared" ref="F34:F51" si="6">IF(COUNTA(Q34,S34,U34,W34)&lt;4,"",IF(Q34="Unchanged (U)",6.42*(1-(1-_xlfn.XLOOKUP(S34,CVSS31_C,CVSS31_C_Value,""))*(1-_xlfn.XLOOKUP(U34,CVSS31_I,CVSS31_I_Value,""))*(1-_xlfn.XLOOKUP(W34,CVSS31_A,CVSS31_A_Value,""))),7.52*((1-(1-_xlfn.XLOOKUP(S34,CVSS31_C,CVSS31_C_Value,""))*(1-_xlfn.XLOOKUP(U34,CVSS31_I,CVSS31_I_Value,""))*(1-_xlfn.XLOOKUP(W34,CVSS31_A,CVSS31_A_Value,"")))-0.029)-3.25*((1-(1-_xlfn.XLOOKUP(S34,CVSS31_C,CVSS31_C_Value,""))*(1-_xlfn.XLOOKUP(U34,CVSS31_I,CVSS31_I_Value,""))*(1-_xlfn.XLOOKUP(W34,CVSS31_A,CVSS31_A_Value,"")))-0.02)^15))</f>
        <v/>
      </c>
      <c r="G34" s="3" t="str">
        <f t="shared" ref="G34:G51" si="7">IF(COUNTA(I34,K34,M34,O34,Q34)&lt;5,"",8.22*_xlfn.XLOOKUP(I34,CVSS31_AV,CVSS31_AV_Value,"")*_xlfn.XLOOKUP(K34,CVSS31_AC,CVSS31_AC_Value,"")*(IF(M34="None (N)",0.85,IF(M34="Low (L)",IF(Q34="Changed (C)",0.68,0.62),IF(M34="High (H)",IF(Q34="Changed (C)",0.5,0.27),""))))*_xlfn.XLOOKUP(O34,CVSS31_UI,CVSS31_UI_Value,""))</f>
        <v/>
      </c>
      <c r="H34" s="3" t="str">
        <f t="shared" ref="H34:H51" si="8">IF(OR(F34="",G34=""),"",IF(F34&lt;=0,0,IF(Q34="Unchanged (U)",ROUNDUP(MIN(F34+G34,10),1),ROUNDUP(MIN(1.08*(F34+G34),10),1))))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tr">
        <f t="shared" ref="Y34:Y51" si="9">IF(COUNTA(I34,K34,M34,O34,Q34,S34,U34,W34)&lt;8,"","CVSS:3.1/AV:"&amp;_xlfn.XLOOKUP(I34,CVSS31_AV,CVSS31_AV_Code,"")&amp;"/AC:"&amp;_xlfn.XLOOKUP(K34,CVSS31_AC,CVSS31_AC_Code,"")&amp;"/PR:"&amp;_xlfn.XLOOKUP(M34,CVSS31_PR,CVSS31_PR_Code,"")&amp;"/UI:"&amp;_xlfn.XLOOKUP(O34,CVSS31_UI,CVSS31_UI_Code,"")&amp;"/S:"&amp;_xlfn.XLOOKUP(Q34,CVSS31_S,CVSS31_S_Code,"")&amp;"/C:"&amp;_xlfn.XLOOKUP(S34,CVSS31_C,CVSS31_C_Code,"")&amp;"/I:"&amp;_xlfn.XLOOKUP(U34,CVSS31_I,CVSS31_I_Code,"")&amp;"/A:"&amp;_xlfn.XLOOKUP(W34,CVSS31_A,CVSS31_A_Code,""))</f>
        <v/>
      </c>
    </row>
    <row r="35" spans="1:25" ht="15">
      <c r="A35" s="1"/>
      <c r="B35" s="1"/>
      <c r="C35" s="1"/>
      <c r="D35" s="1"/>
      <c r="E35" s="1" t="str">
        <f t="shared" si="5"/>
        <v/>
      </c>
      <c r="F35" s="3" t="str">
        <f t="shared" si="6"/>
        <v/>
      </c>
      <c r="G35" s="3" t="str">
        <f t="shared" si="7"/>
        <v/>
      </c>
      <c r="H35" s="3" t="str">
        <f t="shared" si="8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 t="str">
        <f t="shared" si="9"/>
        <v/>
      </c>
    </row>
    <row r="36" spans="1:25" ht="15">
      <c r="A36" s="1"/>
      <c r="B36" s="1"/>
      <c r="C36" s="1"/>
      <c r="D36" s="1"/>
      <c r="E36" s="1" t="str">
        <f t="shared" si="5"/>
        <v/>
      </c>
      <c r="F36" s="3" t="str">
        <f t="shared" si="6"/>
        <v/>
      </c>
      <c r="G36" s="3" t="str">
        <f t="shared" si="7"/>
        <v/>
      </c>
      <c r="H36" s="3" t="str">
        <f t="shared" si="8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 t="str">
        <f t="shared" si="9"/>
        <v/>
      </c>
    </row>
    <row r="37" spans="1:25" ht="15">
      <c r="A37" s="1"/>
      <c r="B37" s="1"/>
      <c r="C37" s="1"/>
      <c r="D37" s="1"/>
      <c r="E37" s="1" t="str">
        <f t="shared" si="5"/>
        <v/>
      </c>
      <c r="F37" s="3" t="str">
        <f t="shared" si="6"/>
        <v/>
      </c>
      <c r="G37" s="3" t="str">
        <f t="shared" si="7"/>
        <v/>
      </c>
      <c r="H37" s="3" t="str">
        <f t="shared" si="8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 t="str">
        <f t="shared" si="9"/>
        <v/>
      </c>
    </row>
    <row r="38" spans="1:25" ht="15">
      <c r="A38" s="1"/>
      <c r="B38" s="1"/>
      <c r="C38" s="1"/>
      <c r="D38" s="1"/>
      <c r="E38" s="1" t="str">
        <f t="shared" si="5"/>
        <v/>
      </c>
      <c r="F38" s="3" t="str">
        <f t="shared" si="6"/>
        <v/>
      </c>
      <c r="G38" s="3" t="str">
        <f t="shared" si="7"/>
        <v/>
      </c>
      <c r="H38" s="3" t="str">
        <f t="shared" si="8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 t="str">
        <f t="shared" si="9"/>
        <v/>
      </c>
    </row>
    <row r="39" spans="1:25" ht="15">
      <c r="A39" s="1"/>
      <c r="B39" s="1"/>
      <c r="C39" s="1"/>
      <c r="D39" s="1"/>
      <c r="E39" s="1" t="str">
        <f t="shared" si="5"/>
        <v/>
      </c>
      <c r="F39" s="3" t="str">
        <f t="shared" si="6"/>
        <v/>
      </c>
      <c r="G39" s="3" t="str">
        <f t="shared" si="7"/>
        <v/>
      </c>
      <c r="H39" s="3" t="str">
        <f t="shared" si="8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str">
        <f t="shared" si="9"/>
        <v/>
      </c>
    </row>
    <row r="40" spans="1:25" ht="15">
      <c r="A40" s="1"/>
      <c r="B40" s="1"/>
      <c r="C40" s="1"/>
      <c r="D40" s="1"/>
      <c r="E40" s="1" t="str">
        <f t="shared" si="5"/>
        <v/>
      </c>
      <c r="F40" s="3" t="str">
        <f t="shared" si="6"/>
        <v/>
      </c>
      <c r="G40" s="3" t="str">
        <f t="shared" si="7"/>
        <v/>
      </c>
      <c r="H40" s="3" t="str">
        <f t="shared" si="8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 t="str">
        <f t="shared" si="9"/>
        <v/>
      </c>
    </row>
    <row r="41" spans="1:25" ht="15">
      <c r="A41" s="1"/>
      <c r="B41" s="1"/>
      <c r="C41" s="1"/>
      <c r="D41" s="1"/>
      <c r="E41" s="1" t="str">
        <f t="shared" si="5"/>
        <v/>
      </c>
      <c r="F41" s="3" t="str">
        <f t="shared" si="6"/>
        <v/>
      </c>
      <c r="G41" s="3" t="str">
        <f t="shared" si="7"/>
        <v/>
      </c>
      <c r="H41" s="3" t="str">
        <f t="shared" si="8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 t="str">
        <f t="shared" si="9"/>
        <v/>
      </c>
    </row>
    <row r="42" spans="1:25" ht="15">
      <c r="A42" s="1"/>
      <c r="B42" s="1"/>
      <c r="C42" s="1"/>
      <c r="D42" s="1"/>
      <c r="E42" s="1" t="str">
        <f t="shared" si="5"/>
        <v/>
      </c>
      <c r="F42" s="3" t="str">
        <f t="shared" si="6"/>
        <v/>
      </c>
      <c r="G42" s="3" t="str">
        <f t="shared" si="7"/>
        <v/>
      </c>
      <c r="H42" s="3" t="str">
        <f t="shared" si="8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str">
        <f t="shared" si="9"/>
        <v/>
      </c>
    </row>
    <row r="43" spans="1:25" ht="15">
      <c r="A43" s="1"/>
      <c r="B43" s="1"/>
      <c r="C43" s="1"/>
      <c r="D43" s="1"/>
      <c r="E43" s="1" t="str">
        <f t="shared" si="5"/>
        <v/>
      </c>
      <c r="F43" s="3" t="str">
        <f t="shared" si="6"/>
        <v/>
      </c>
      <c r="G43" s="3" t="str">
        <f t="shared" si="7"/>
        <v/>
      </c>
      <c r="H43" s="3" t="str">
        <f t="shared" si="8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str">
        <f t="shared" si="9"/>
        <v/>
      </c>
    </row>
    <row r="44" spans="1:25" ht="15">
      <c r="A44" s="1"/>
      <c r="B44" s="1"/>
      <c r="C44" s="1"/>
      <c r="D44" s="1"/>
      <c r="E44" s="1" t="str">
        <f t="shared" si="5"/>
        <v/>
      </c>
      <c r="F44" s="3" t="str">
        <f t="shared" si="6"/>
        <v/>
      </c>
      <c r="G44" s="3" t="str">
        <f t="shared" si="7"/>
        <v/>
      </c>
      <c r="H44" s="3" t="str">
        <f t="shared" si="8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str">
        <f t="shared" si="9"/>
        <v/>
      </c>
    </row>
    <row r="45" spans="1:25" ht="15">
      <c r="A45" s="1"/>
      <c r="B45" s="1"/>
      <c r="C45" s="1"/>
      <c r="D45" s="1"/>
      <c r="E45" s="1" t="str">
        <f t="shared" si="5"/>
        <v/>
      </c>
      <c r="F45" s="3" t="str">
        <f t="shared" si="6"/>
        <v/>
      </c>
      <c r="G45" s="3" t="str">
        <f t="shared" si="7"/>
        <v/>
      </c>
      <c r="H45" s="3" t="str">
        <f t="shared" si="8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 t="str">
        <f t="shared" si="9"/>
        <v/>
      </c>
    </row>
    <row r="46" spans="1:25" ht="15">
      <c r="A46" s="1"/>
      <c r="B46" s="1"/>
      <c r="C46" s="1"/>
      <c r="D46" s="1"/>
      <c r="E46" s="1" t="str">
        <f t="shared" si="5"/>
        <v/>
      </c>
      <c r="F46" s="3" t="str">
        <f t="shared" si="6"/>
        <v/>
      </c>
      <c r="G46" s="3" t="str">
        <f t="shared" si="7"/>
        <v/>
      </c>
      <c r="H46" s="3" t="str">
        <f t="shared" si="8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 t="str">
        <f t="shared" si="9"/>
        <v/>
      </c>
    </row>
    <row r="47" spans="1:25" ht="15">
      <c r="A47" s="1"/>
      <c r="B47" s="1"/>
      <c r="C47" s="1"/>
      <c r="D47" s="1"/>
      <c r="E47" s="1" t="str">
        <f t="shared" si="5"/>
        <v/>
      </c>
      <c r="F47" s="3" t="str">
        <f t="shared" si="6"/>
        <v/>
      </c>
      <c r="G47" s="3" t="str">
        <f t="shared" si="7"/>
        <v/>
      </c>
      <c r="H47" s="3" t="str">
        <f t="shared" si="8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 t="str">
        <f t="shared" si="9"/>
        <v/>
      </c>
    </row>
    <row r="48" spans="1:25" ht="15">
      <c r="A48" s="1"/>
      <c r="B48" s="1"/>
      <c r="C48" s="1"/>
      <c r="D48" s="1"/>
      <c r="E48" s="1" t="str">
        <f t="shared" si="5"/>
        <v/>
      </c>
      <c r="F48" s="3" t="str">
        <f t="shared" si="6"/>
        <v/>
      </c>
      <c r="G48" s="3" t="str">
        <f t="shared" si="7"/>
        <v/>
      </c>
      <c r="H48" s="3" t="str">
        <f t="shared" si="8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tr">
        <f t="shared" si="9"/>
        <v/>
      </c>
    </row>
    <row r="49" spans="1:25" ht="15">
      <c r="A49" s="1"/>
      <c r="B49" s="1"/>
      <c r="C49" s="1"/>
      <c r="D49" s="1"/>
      <c r="E49" s="1" t="str">
        <f t="shared" si="5"/>
        <v/>
      </c>
      <c r="F49" s="3" t="str">
        <f t="shared" si="6"/>
        <v/>
      </c>
      <c r="G49" s="3" t="str">
        <f t="shared" si="7"/>
        <v/>
      </c>
      <c r="H49" s="3" t="str">
        <f t="shared" si="8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tr">
        <f t="shared" si="9"/>
        <v/>
      </c>
    </row>
    <row r="50" spans="1:25" ht="15">
      <c r="A50" s="1"/>
      <c r="B50" s="1"/>
      <c r="C50" s="1"/>
      <c r="D50" s="1"/>
      <c r="E50" s="1" t="str">
        <f t="shared" si="5"/>
        <v/>
      </c>
      <c r="F50" s="3" t="str">
        <f t="shared" si="6"/>
        <v/>
      </c>
      <c r="G50" s="3" t="str">
        <f t="shared" si="7"/>
        <v/>
      </c>
      <c r="H50" s="3" t="str">
        <f t="shared" si="8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tr">
        <f t="shared" si="9"/>
        <v/>
      </c>
    </row>
    <row r="51" spans="1:25" ht="15">
      <c r="A51" s="1"/>
      <c r="B51" s="1"/>
      <c r="C51" s="1"/>
      <c r="D51" s="1"/>
      <c r="E51" s="1" t="str">
        <f t="shared" si="5"/>
        <v/>
      </c>
      <c r="F51" s="3" t="str">
        <f t="shared" si="6"/>
        <v/>
      </c>
      <c r="G51" s="3" t="str">
        <f t="shared" si="7"/>
        <v/>
      </c>
      <c r="H51" s="3" t="str">
        <f t="shared" si="8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 t="str">
        <f t="shared" si="9"/>
        <v/>
      </c>
    </row>
  </sheetData>
  <conditionalFormatting sqref="D2:D51">
    <cfRule type="expression" dxfId="35" priority="1">
      <formula>D2="Residual"</formula>
    </cfRule>
  </conditionalFormatting>
  <conditionalFormatting sqref="E2:E51">
    <cfRule type="expression" dxfId="34" priority="2">
      <formula>E2="Critical"</formula>
    </cfRule>
    <cfRule type="expression" dxfId="33" priority="3">
      <formula>E2="High"</formula>
    </cfRule>
    <cfRule type="expression" dxfId="32" priority="4">
      <formula>E2="Medium"</formula>
    </cfRule>
    <cfRule type="expression" dxfId="31" priority="5">
      <formula>E2="Low"</formula>
    </cfRule>
    <cfRule type="expression" dxfId="30" priority="6">
      <formula>E2="Note"</formula>
    </cfRule>
  </conditionalFormatting>
  <conditionalFormatting sqref="J2:J51">
    <cfRule type="expression" dxfId="29" priority="7">
      <formula>AND($D2="Residual",I2&lt;&gt;"",J2="")</formula>
    </cfRule>
  </conditionalFormatting>
  <conditionalFormatting sqref="L2:L51">
    <cfRule type="expression" dxfId="28" priority="8">
      <formula>AND($D2="Residual",K2&lt;&gt;"",L2="")</formula>
    </cfRule>
  </conditionalFormatting>
  <conditionalFormatting sqref="N2:N51">
    <cfRule type="expression" dxfId="27" priority="9">
      <formula>AND($D2="Residual",M2&lt;&gt;"",N2="")</formula>
    </cfRule>
  </conditionalFormatting>
  <conditionalFormatting sqref="P2:P51">
    <cfRule type="expression" dxfId="26" priority="10">
      <formula>AND($D2="Residual",O2&lt;&gt;"",P2="")</formula>
    </cfRule>
  </conditionalFormatting>
  <conditionalFormatting sqref="R2:R51">
    <cfRule type="expression" dxfId="25" priority="11">
      <formula>AND($D2="Residual",Q2&lt;&gt;"",R2="")</formula>
    </cfRule>
  </conditionalFormatting>
  <conditionalFormatting sqref="T2:T51">
    <cfRule type="expression" dxfId="24" priority="12">
      <formula>AND($D2="Residual",S2&lt;&gt;"",T2="")</formula>
    </cfRule>
  </conditionalFormatting>
  <conditionalFormatting sqref="V2:V51">
    <cfRule type="expression" dxfId="23" priority="13">
      <formula>AND($D2="Residual",U2&lt;&gt;"",V2="")</formula>
    </cfRule>
  </conditionalFormatting>
  <conditionalFormatting sqref="X2:X51">
    <cfRule type="expression" dxfId="22" priority="14">
      <formula>AND($D2="Residual",W2&lt;&gt;"",X2="")</formula>
    </cfRule>
  </conditionalFormatting>
  <dataValidations count="9">
    <dataValidation type="list" sqref="D2:D51" xr:uid="{00000000-0002-0000-0300-000000000000}">
      <formula1>Risk_State</formula1>
    </dataValidation>
    <dataValidation type="list" sqref="I2:I51" xr:uid="{00000000-0002-0000-0300-000001000000}">
      <formula1>CVSS31_AV</formula1>
    </dataValidation>
    <dataValidation type="list" sqref="K2:K51" xr:uid="{00000000-0002-0000-0300-000002000000}">
      <formula1>CVSS31_AC</formula1>
    </dataValidation>
    <dataValidation type="list" sqref="M2:M51" xr:uid="{00000000-0002-0000-0300-000003000000}">
      <formula1>CVSS31_PR</formula1>
    </dataValidation>
    <dataValidation type="list" sqref="O2:O51" xr:uid="{00000000-0002-0000-0300-000004000000}">
      <formula1>CVSS31_UI</formula1>
    </dataValidation>
    <dataValidation type="list" sqref="Q2:Q51" xr:uid="{00000000-0002-0000-0300-000005000000}">
      <formula1>CVSS31_S</formula1>
    </dataValidation>
    <dataValidation type="list" sqref="S2:S51" xr:uid="{00000000-0002-0000-0300-000006000000}">
      <formula1>CVSS31_C</formula1>
    </dataValidation>
    <dataValidation type="list" sqref="U2:U51" xr:uid="{00000000-0002-0000-0300-000007000000}">
      <formula1>CVSS31_I</formula1>
    </dataValidation>
    <dataValidation type="list" sqref="W2:W51" xr:uid="{00000000-0002-0000-0300-000008000000}">
      <formula1>CVSS31_A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  <col min="22" max="22" width="30" customWidth="1"/>
    <col min="23" max="23" width="18" customWidth="1"/>
    <col min="24" max="24" width="30" customWidth="1"/>
    <col min="25" max="25" width="18" customWidth="1"/>
    <col min="26" max="26" width="30" customWidth="1"/>
    <col min="27" max="27" width="18" customWidth="1"/>
    <col min="28" max="28" width="30" customWidth="1"/>
    <col min="29" max="29" width="18" customWidth="1"/>
    <col min="30" max="30" width="30" customWidth="1"/>
    <col min="31" max="31" width="18" customWidth="1"/>
    <col min="32" max="32" width="30" customWidth="1"/>
    <col min="33" max="33" width="18" customWidth="1"/>
    <col min="34" max="34" width="30" customWidth="1"/>
    <col min="35" max="35" width="18" customWidth="1"/>
    <col min="36" max="36" width="30" customWidth="1"/>
    <col min="37" max="37" width="18" customWidth="1"/>
    <col min="38" max="38" width="30" customWidth="1"/>
    <col min="39" max="39" width="18" customWidth="1"/>
    <col min="40" max="40" width="30" customWidth="1"/>
    <col min="41" max="43" width="18" customWidth="1"/>
  </cols>
  <sheetData>
    <row r="1" spans="1:43" ht="1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  <c r="O1" s="2" t="s">
        <v>147</v>
      </c>
      <c r="P1" s="2" t="s">
        <v>148</v>
      </c>
      <c r="Q1" s="2" t="s">
        <v>149</v>
      </c>
      <c r="R1" s="2" t="s">
        <v>150</v>
      </c>
      <c r="S1" s="2" t="s">
        <v>151</v>
      </c>
      <c r="T1" s="2" t="s">
        <v>152</v>
      </c>
      <c r="U1" s="2" t="s">
        <v>153</v>
      </c>
      <c r="V1" s="2" t="s">
        <v>154</v>
      </c>
      <c r="W1" s="2" t="s">
        <v>155</v>
      </c>
      <c r="X1" s="2" t="s">
        <v>156</v>
      </c>
      <c r="Y1" s="2" t="s">
        <v>157</v>
      </c>
      <c r="Z1" s="2" t="s">
        <v>158</v>
      </c>
      <c r="AA1" s="2" t="s">
        <v>159</v>
      </c>
      <c r="AB1" s="2" t="s">
        <v>160</v>
      </c>
      <c r="AC1" s="2" t="s">
        <v>161</v>
      </c>
      <c r="AD1" s="2" t="s">
        <v>162</v>
      </c>
      <c r="AE1" s="2" t="s">
        <v>163</v>
      </c>
      <c r="AF1" s="2" t="s">
        <v>164</v>
      </c>
      <c r="AG1" s="2" t="s">
        <v>165</v>
      </c>
      <c r="AH1" s="2" t="s">
        <v>166</v>
      </c>
      <c r="AI1" s="2" t="s">
        <v>167</v>
      </c>
      <c r="AJ1" s="2" t="s">
        <v>168</v>
      </c>
      <c r="AK1" s="2" t="s">
        <v>169</v>
      </c>
      <c r="AL1" s="2" t="s">
        <v>170</v>
      </c>
      <c r="AM1" s="2" t="s">
        <v>171</v>
      </c>
      <c r="AN1" s="2" t="s">
        <v>172</v>
      </c>
      <c r="AO1" s="2" t="s">
        <v>173</v>
      </c>
      <c r="AP1" s="2" t="s">
        <v>174</v>
      </c>
      <c r="AQ1" s="2" t="s">
        <v>175</v>
      </c>
    </row>
    <row r="2" spans="1:43" ht="46">
      <c r="A2" s="5" t="s">
        <v>18</v>
      </c>
      <c r="B2" s="1" t="s">
        <v>19</v>
      </c>
      <c r="C2" s="1" t="s">
        <v>20</v>
      </c>
      <c r="D2" s="1" t="s">
        <v>21</v>
      </c>
      <c r="E2" s="1" t="str">
        <f t="shared" ref="E2:E33" si="0">IF(OR(F2="",G2=""),"",IF(F2&lt;3,IF(G2&lt;3,"Note",IF(G2&lt;6,"Low","Medium")),IF(F2&lt;6,IF(G2&lt;3,"Low",IF(G2&lt;6,"Medium","High")),IF(G2&lt;3,"Medium",IF(G2&lt;6,"High","Critical")))))</f>
        <v>Critical</v>
      </c>
      <c r="F2" s="3">
        <f t="shared" ref="F2:F33" si="1">AQ2</f>
        <v>6.25</v>
      </c>
      <c r="G2" s="3">
        <f t="shared" ref="G2:G33" si="2">IF(COUNTA(I2,K2,M2,O2,Q2,S2,U2,W2)&lt;8,"",AVERAGE(_xlfn.XLOOKUP(I2,OWASP_Skill,OWASP_Skill_Value),_xlfn.XLOOKUP(K2,OWASP_Motive,OWASP_Motive_Value),_xlfn.XLOOKUP(M2,OWASP_Opportunity,OWASP_Opportunity_Value),_xlfn.XLOOKUP(O2,OWASP_Size,OWASP_Size_Value),_xlfn.XLOOKUP(Q2,OWASP_Discovery,OWASP_Discovery_Value),_xlfn.XLOOKUP(S2,OWASP_Exploit,OWASP_Exploit_Value),_xlfn.XLOOKUP(U2,OWASP_Awareness,OWASP_Awareness_Value),_xlfn.XLOOKUP(W2,OWASP_Detection,OWASP_Detection_Value)))</f>
        <v>8.25</v>
      </c>
      <c r="H2" s="3" t="str">
        <f t="shared" ref="H2:H33" si="3">IF(E2="","",E2)</f>
        <v>Critical</v>
      </c>
      <c r="I2" s="1" t="s">
        <v>176</v>
      </c>
      <c r="J2" s="1" t="s">
        <v>177</v>
      </c>
      <c r="K2" s="1" t="s">
        <v>178</v>
      </c>
      <c r="L2" s="1" t="s">
        <v>179</v>
      </c>
      <c r="M2" s="1" t="s">
        <v>180</v>
      </c>
      <c r="N2" s="1" t="s">
        <v>181</v>
      </c>
      <c r="O2" s="1" t="s">
        <v>182</v>
      </c>
      <c r="P2" s="1" t="s">
        <v>183</v>
      </c>
      <c r="Q2" s="1" t="s">
        <v>184</v>
      </c>
      <c r="R2" s="1" t="s">
        <v>185</v>
      </c>
      <c r="S2" s="1" t="s">
        <v>184</v>
      </c>
      <c r="T2" s="1" t="s">
        <v>186</v>
      </c>
      <c r="U2" s="1" t="s">
        <v>187</v>
      </c>
      <c r="V2" s="1" t="s">
        <v>188</v>
      </c>
      <c r="W2" s="1" t="s">
        <v>189</v>
      </c>
      <c r="X2" s="1" t="s">
        <v>190</v>
      </c>
      <c r="Y2" s="1" t="s">
        <v>191</v>
      </c>
      <c r="Z2" s="1" t="s">
        <v>192</v>
      </c>
      <c r="AA2" s="1" t="s">
        <v>193</v>
      </c>
      <c r="AB2" s="1" t="s">
        <v>194</v>
      </c>
      <c r="AC2" s="1" t="s">
        <v>195</v>
      </c>
      <c r="AD2" s="1" t="s">
        <v>196</v>
      </c>
      <c r="AE2" s="1" t="s">
        <v>197</v>
      </c>
      <c r="AF2" s="1" t="s">
        <v>198</v>
      </c>
      <c r="AG2" s="1" t="s">
        <v>199</v>
      </c>
      <c r="AH2" s="1" t="s">
        <v>200</v>
      </c>
      <c r="AI2" s="1" t="s">
        <v>201</v>
      </c>
      <c r="AJ2" s="1" t="s">
        <v>202</v>
      </c>
      <c r="AK2" s="1" t="s">
        <v>203</v>
      </c>
      <c r="AL2" s="1" t="s">
        <v>204</v>
      </c>
      <c r="AM2" s="1" t="s">
        <v>205</v>
      </c>
      <c r="AN2" s="1" t="s">
        <v>206</v>
      </c>
      <c r="AO2" s="1">
        <f t="shared" ref="AO2:AO33" si="4">IF(COUNTA(Y2,AA2,AC2,AE2)&lt;4,"",AVERAGE(_xlfn.XLOOKUP(Y2,OWASP_Confidentiality,OWASP_Confidentiality_Value),_xlfn.XLOOKUP(AA2,OWASP_Integrity,OWASP_Integrity_Value),_xlfn.XLOOKUP(AC2,OWASP_Availability,OWASP_Availability_Value),_xlfn.XLOOKUP(AE2,OWASP_Accountability,OWASP_Accountability_Value)))</f>
        <v>6.5</v>
      </c>
      <c r="AP2" s="1">
        <f t="shared" ref="AP2:AP33" si="5">IF(COUNTA(AG2,AI2,AK2,AM2)&lt;4,"",AVERAGE(_xlfn.XLOOKUP(AG2,OWASP_Financial,OWASP_Financial_Value),_xlfn.XLOOKUP(AI2,OWASP_Reputation,OWASP_Reputation_Value),_xlfn.XLOOKUP(AK2,OWASP_NonCompliance,OWASP_NonCompliance_Value),_xlfn.XLOOKUP(AM2,OWASP_Privacy,OWASP_Privacy_Value)))</f>
        <v>6.25</v>
      </c>
      <c r="AQ2" s="1">
        <f t="shared" ref="AQ2:AQ33" si="6">IF(AP2&lt;&gt;"",AP2,AO2)</f>
        <v>6.25</v>
      </c>
    </row>
    <row r="3" spans="1:43" ht="61">
      <c r="A3" s="5" t="s">
        <v>18</v>
      </c>
      <c r="B3" s="1" t="s">
        <v>19</v>
      </c>
      <c r="C3" s="1" t="s">
        <v>20</v>
      </c>
      <c r="D3" s="1" t="s">
        <v>32</v>
      </c>
      <c r="E3" s="1" t="str">
        <f t="shared" si="0"/>
        <v>Low</v>
      </c>
      <c r="F3" s="3">
        <f t="shared" si="1"/>
        <v>2.75</v>
      </c>
      <c r="G3" s="3">
        <f t="shared" si="2"/>
        <v>5.5</v>
      </c>
      <c r="H3" s="3" t="str">
        <f t="shared" si="3"/>
        <v>Low</v>
      </c>
      <c r="I3" s="1" t="s">
        <v>207</v>
      </c>
      <c r="J3" s="1" t="s">
        <v>208</v>
      </c>
      <c r="K3" s="1" t="s">
        <v>178</v>
      </c>
      <c r="L3" s="1" t="s">
        <v>209</v>
      </c>
      <c r="M3" s="1" t="s">
        <v>210</v>
      </c>
      <c r="N3" s="1" t="s">
        <v>211</v>
      </c>
      <c r="O3" s="1" t="s">
        <v>182</v>
      </c>
      <c r="P3" s="1" t="s">
        <v>212</v>
      </c>
      <c r="Q3" s="1" t="s">
        <v>213</v>
      </c>
      <c r="R3" s="1" t="s">
        <v>214</v>
      </c>
      <c r="S3" s="1" t="s">
        <v>213</v>
      </c>
      <c r="T3" s="1" t="s">
        <v>215</v>
      </c>
      <c r="U3" s="1" t="s">
        <v>216</v>
      </c>
      <c r="V3" s="1" t="s">
        <v>217</v>
      </c>
      <c r="W3" s="1" t="s">
        <v>218</v>
      </c>
      <c r="X3" s="1" t="s">
        <v>219</v>
      </c>
      <c r="Y3" s="1" t="s">
        <v>220</v>
      </c>
      <c r="Z3" s="1" t="s">
        <v>221</v>
      </c>
      <c r="AA3" s="1" t="s">
        <v>222</v>
      </c>
      <c r="AB3" s="1" t="s">
        <v>223</v>
      </c>
      <c r="AC3" s="1" t="s">
        <v>224</v>
      </c>
      <c r="AD3" s="1" t="s">
        <v>225</v>
      </c>
      <c r="AE3" s="1" t="s">
        <v>226</v>
      </c>
      <c r="AF3" s="1" t="s">
        <v>227</v>
      </c>
      <c r="AG3" s="1" t="s">
        <v>228</v>
      </c>
      <c r="AH3" s="1" t="s">
        <v>229</v>
      </c>
      <c r="AI3" s="1" t="s">
        <v>230</v>
      </c>
      <c r="AJ3" s="1" t="s">
        <v>231</v>
      </c>
      <c r="AK3" s="1" t="s">
        <v>232</v>
      </c>
      <c r="AL3" s="1" t="s">
        <v>233</v>
      </c>
      <c r="AM3" s="1" t="s">
        <v>234</v>
      </c>
      <c r="AN3" s="1" t="s">
        <v>235</v>
      </c>
      <c r="AO3" s="1">
        <f t="shared" si="4"/>
        <v>2.75</v>
      </c>
      <c r="AP3" s="1">
        <f t="shared" si="5"/>
        <v>2.75</v>
      </c>
      <c r="AQ3" s="1">
        <f t="shared" si="6"/>
        <v>2.75</v>
      </c>
    </row>
    <row r="4" spans="1:43" ht="61">
      <c r="A4" s="5" t="s">
        <v>43</v>
      </c>
      <c r="B4" s="1" t="s">
        <v>44</v>
      </c>
      <c r="C4" s="1" t="s">
        <v>45</v>
      </c>
      <c r="D4" s="1" t="s">
        <v>21</v>
      </c>
      <c r="E4" s="1" t="str">
        <f t="shared" si="0"/>
        <v>High</v>
      </c>
      <c r="F4" s="3">
        <f t="shared" si="1"/>
        <v>4.5</v>
      </c>
      <c r="G4" s="3">
        <f t="shared" si="2"/>
        <v>6</v>
      </c>
      <c r="H4" s="3" t="str">
        <f t="shared" si="3"/>
        <v>High</v>
      </c>
      <c r="I4" s="1" t="s">
        <v>236</v>
      </c>
      <c r="J4" s="1" t="s">
        <v>237</v>
      </c>
      <c r="K4" s="1" t="s">
        <v>238</v>
      </c>
      <c r="L4" s="1" t="s">
        <v>239</v>
      </c>
      <c r="M4" s="1" t="s">
        <v>240</v>
      </c>
      <c r="N4" s="1" t="s">
        <v>241</v>
      </c>
      <c r="O4" s="1" t="s">
        <v>242</v>
      </c>
      <c r="P4" s="1" t="s">
        <v>243</v>
      </c>
      <c r="Q4" s="1" t="s">
        <v>244</v>
      </c>
      <c r="R4" s="1" t="s">
        <v>245</v>
      </c>
      <c r="S4" s="1" t="s">
        <v>244</v>
      </c>
      <c r="T4" s="1" t="s">
        <v>246</v>
      </c>
      <c r="U4" s="1" t="s">
        <v>187</v>
      </c>
      <c r="V4" s="1" t="s">
        <v>247</v>
      </c>
      <c r="W4" s="1" t="s">
        <v>248</v>
      </c>
      <c r="X4" s="1" t="s">
        <v>249</v>
      </c>
      <c r="Y4" s="1" t="s">
        <v>220</v>
      </c>
      <c r="Z4" s="1" t="s">
        <v>250</v>
      </c>
      <c r="AA4" s="1" t="s">
        <v>222</v>
      </c>
      <c r="AB4" s="1" t="s">
        <v>251</v>
      </c>
      <c r="AC4" s="1" t="s">
        <v>224</v>
      </c>
      <c r="AD4" s="1" t="s">
        <v>252</v>
      </c>
      <c r="AE4" s="1" t="s">
        <v>197</v>
      </c>
      <c r="AF4" s="1" t="s">
        <v>253</v>
      </c>
      <c r="AG4" s="1" t="s">
        <v>228</v>
      </c>
      <c r="AH4" s="1" t="s">
        <v>254</v>
      </c>
      <c r="AI4" s="1" t="s">
        <v>255</v>
      </c>
      <c r="AJ4" s="1" t="s">
        <v>256</v>
      </c>
      <c r="AK4" s="1" t="s">
        <v>257</v>
      </c>
      <c r="AL4" s="1" t="s">
        <v>258</v>
      </c>
      <c r="AM4" s="1" t="s">
        <v>234</v>
      </c>
      <c r="AN4" s="1" t="s">
        <v>259</v>
      </c>
      <c r="AO4" s="1">
        <f t="shared" si="4"/>
        <v>4.25</v>
      </c>
      <c r="AP4" s="1">
        <f t="shared" si="5"/>
        <v>4.5</v>
      </c>
      <c r="AQ4" s="1">
        <f t="shared" si="6"/>
        <v>4.5</v>
      </c>
    </row>
    <row r="5" spans="1:43" ht="61">
      <c r="A5" s="5" t="s">
        <v>43</v>
      </c>
      <c r="B5" s="1" t="s">
        <v>44</v>
      </c>
      <c r="C5" s="1" t="s">
        <v>45</v>
      </c>
      <c r="D5" s="1" t="s">
        <v>32</v>
      </c>
      <c r="E5" s="1" t="str">
        <f t="shared" si="0"/>
        <v>Low</v>
      </c>
      <c r="F5" s="3">
        <f t="shared" si="1"/>
        <v>1.75</v>
      </c>
      <c r="G5" s="3">
        <f t="shared" si="2"/>
        <v>4.5</v>
      </c>
      <c r="H5" s="3" t="str">
        <f t="shared" si="3"/>
        <v>Low</v>
      </c>
      <c r="I5" s="1" t="s">
        <v>207</v>
      </c>
      <c r="J5" s="1" t="s">
        <v>260</v>
      </c>
      <c r="K5" s="1" t="s">
        <v>238</v>
      </c>
      <c r="L5" s="1" t="s">
        <v>261</v>
      </c>
      <c r="M5" s="1" t="s">
        <v>210</v>
      </c>
      <c r="N5" s="1" t="s">
        <v>262</v>
      </c>
      <c r="O5" s="1" t="s">
        <v>242</v>
      </c>
      <c r="P5" s="1" t="s">
        <v>263</v>
      </c>
      <c r="Q5" s="1" t="s">
        <v>213</v>
      </c>
      <c r="R5" s="1" t="s">
        <v>264</v>
      </c>
      <c r="S5" s="1" t="s">
        <v>213</v>
      </c>
      <c r="T5" s="1" t="s">
        <v>265</v>
      </c>
      <c r="U5" s="1" t="s">
        <v>216</v>
      </c>
      <c r="V5" s="1" t="s">
        <v>266</v>
      </c>
      <c r="W5" s="1" t="s">
        <v>218</v>
      </c>
      <c r="X5" s="1" t="s">
        <v>267</v>
      </c>
      <c r="Y5" s="1" t="s">
        <v>268</v>
      </c>
      <c r="Z5" s="1" t="s">
        <v>269</v>
      </c>
      <c r="AA5" s="1" t="s">
        <v>270</v>
      </c>
      <c r="AB5" s="1" t="s">
        <v>271</v>
      </c>
      <c r="AC5" s="1" t="s">
        <v>224</v>
      </c>
      <c r="AD5" s="1" t="s">
        <v>272</v>
      </c>
      <c r="AE5" s="1" t="s">
        <v>226</v>
      </c>
      <c r="AF5" s="1" t="s">
        <v>273</v>
      </c>
      <c r="AG5" s="1" t="s">
        <v>274</v>
      </c>
      <c r="AH5" s="1" t="s">
        <v>275</v>
      </c>
      <c r="AI5" s="1" t="s">
        <v>230</v>
      </c>
      <c r="AJ5" s="1" t="s">
        <v>276</v>
      </c>
      <c r="AK5" s="1" t="s">
        <v>232</v>
      </c>
      <c r="AL5" s="1" t="s">
        <v>277</v>
      </c>
      <c r="AM5" s="1" t="s">
        <v>278</v>
      </c>
      <c r="AN5" s="1" t="s">
        <v>279</v>
      </c>
      <c r="AO5" s="1">
        <f t="shared" si="4"/>
        <v>1.25</v>
      </c>
      <c r="AP5" s="1">
        <f t="shared" si="5"/>
        <v>1.75</v>
      </c>
      <c r="AQ5" s="1">
        <f t="shared" si="6"/>
        <v>1.75</v>
      </c>
    </row>
    <row r="6" spans="1:43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tr">
        <f t="shared" si="4"/>
        <v/>
      </c>
      <c r="AP6" s="1" t="str">
        <f t="shared" si="5"/>
        <v/>
      </c>
      <c r="AQ6" s="1" t="str">
        <f t="shared" si="6"/>
        <v/>
      </c>
    </row>
    <row r="7" spans="1:43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tr">
        <f t="shared" si="4"/>
        <v/>
      </c>
      <c r="AP7" s="1" t="str">
        <f t="shared" si="5"/>
        <v/>
      </c>
      <c r="AQ7" s="1" t="str">
        <f t="shared" si="6"/>
        <v/>
      </c>
    </row>
    <row r="8" spans="1:43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 t="str">
        <f t="shared" si="4"/>
        <v/>
      </c>
      <c r="AP8" s="1" t="str">
        <f t="shared" si="5"/>
        <v/>
      </c>
      <c r="AQ8" s="1" t="str">
        <f t="shared" si="6"/>
        <v/>
      </c>
    </row>
    <row r="9" spans="1:43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 t="str">
        <f t="shared" si="4"/>
        <v/>
      </c>
      <c r="AP9" s="1" t="str">
        <f t="shared" si="5"/>
        <v/>
      </c>
      <c r="AQ9" s="1" t="str">
        <f t="shared" si="6"/>
        <v/>
      </c>
    </row>
    <row r="10" spans="1:43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tr">
        <f t="shared" si="4"/>
        <v/>
      </c>
      <c r="AP10" s="1" t="str">
        <f t="shared" si="5"/>
        <v/>
      </c>
      <c r="AQ10" s="1" t="str">
        <f t="shared" si="6"/>
        <v/>
      </c>
    </row>
    <row r="11" spans="1:43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tr">
        <f t="shared" si="4"/>
        <v/>
      </c>
      <c r="AP11" s="1" t="str">
        <f t="shared" si="5"/>
        <v/>
      </c>
      <c r="AQ11" s="1" t="str">
        <f t="shared" si="6"/>
        <v/>
      </c>
    </row>
    <row r="12" spans="1:43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tr">
        <f t="shared" si="4"/>
        <v/>
      </c>
      <c r="AP12" s="1" t="str">
        <f t="shared" si="5"/>
        <v/>
      </c>
      <c r="AQ12" s="1" t="str">
        <f t="shared" si="6"/>
        <v/>
      </c>
    </row>
    <row r="13" spans="1:43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 t="str">
        <f t="shared" si="4"/>
        <v/>
      </c>
      <c r="AP13" s="1" t="str">
        <f t="shared" si="5"/>
        <v/>
      </c>
      <c r="AQ13" s="1" t="str">
        <f t="shared" si="6"/>
        <v/>
      </c>
    </row>
    <row r="14" spans="1:43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 t="str">
        <f t="shared" si="4"/>
        <v/>
      </c>
      <c r="AP14" s="1" t="str">
        <f t="shared" si="5"/>
        <v/>
      </c>
      <c r="AQ14" s="1" t="str">
        <f t="shared" si="6"/>
        <v/>
      </c>
    </row>
    <row r="15" spans="1:43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tr">
        <f t="shared" si="4"/>
        <v/>
      </c>
      <c r="AP15" s="1" t="str">
        <f t="shared" si="5"/>
        <v/>
      </c>
      <c r="AQ15" s="1" t="str">
        <f t="shared" si="6"/>
        <v/>
      </c>
    </row>
    <row r="16" spans="1:43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 t="str">
        <f t="shared" si="4"/>
        <v/>
      </c>
      <c r="AP16" s="1" t="str">
        <f t="shared" si="5"/>
        <v/>
      </c>
      <c r="AQ16" s="1" t="str">
        <f t="shared" si="6"/>
        <v/>
      </c>
    </row>
    <row r="17" spans="1:43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 t="str">
        <f t="shared" si="4"/>
        <v/>
      </c>
      <c r="AP17" s="1" t="str">
        <f t="shared" si="5"/>
        <v/>
      </c>
      <c r="AQ17" s="1" t="str">
        <f t="shared" si="6"/>
        <v/>
      </c>
    </row>
    <row r="18" spans="1:43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 t="str">
        <f t="shared" si="4"/>
        <v/>
      </c>
      <c r="AP18" s="1" t="str">
        <f t="shared" si="5"/>
        <v/>
      </c>
      <c r="AQ18" s="1" t="str">
        <f t="shared" si="6"/>
        <v/>
      </c>
    </row>
    <row r="19" spans="1:43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 t="str">
        <f t="shared" si="4"/>
        <v/>
      </c>
      <c r="AP19" s="1" t="str">
        <f t="shared" si="5"/>
        <v/>
      </c>
      <c r="AQ19" s="1" t="str">
        <f t="shared" si="6"/>
        <v/>
      </c>
    </row>
    <row r="20" spans="1:43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 t="str">
        <f t="shared" si="4"/>
        <v/>
      </c>
      <c r="AP20" s="1" t="str">
        <f t="shared" si="5"/>
        <v/>
      </c>
      <c r="AQ20" s="1" t="str">
        <f t="shared" si="6"/>
        <v/>
      </c>
    </row>
    <row r="21" spans="1:43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 t="str">
        <f t="shared" si="4"/>
        <v/>
      </c>
      <c r="AP21" s="1" t="str">
        <f t="shared" si="5"/>
        <v/>
      </c>
      <c r="AQ21" s="1" t="str">
        <f t="shared" si="6"/>
        <v/>
      </c>
    </row>
    <row r="22" spans="1:43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 t="str">
        <f t="shared" si="4"/>
        <v/>
      </c>
      <c r="AP22" s="1" t="str">
        <f t="shared" si="5"/>
        <v/>
      </c>
      <c r="AQ22" s="1" t="str">
        <f t="shared" si="6"/>
        <v/>
      </c>
    </row>
    <row r="23" spans="1:43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 t="str">
        <f t="shared" si="4"/>
        <v/>
      </c>
      <c r="AP23" s="1" t="str">
        <f t="shared" si="5"/>
        <v/>
      </c>
      <c r="AQ23" s="1" t="str">
        <f t="shared" si="6"/>
        <v/>
      </c>
    </row>
    <row r="24" spans="1:43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 t="str">
        <f t="shared" si="4"/>
        <v/>
      </c>
      <c r="AP24" s="1" t="str">
        <f t="shared" si="5"/>
        <v/>
      </c>
      <c r="AQ24" s="1" t="str">
        <f t="shared" si="6"/>
        <v/>
      </c>
    </row>
    <row r="25" spans="1:43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 t="str">
        <f t="shared" si="4"/>
        <v/>
      </c>
      <c r="AP25" s="1" t="str">
        <f t="shared" si="5"/>
        <v/>
      </c>
      <c r="AQ25" s="1" t="str">
        <f t="shared" si="6"/>
        <v/>
      </c>
    </row>
    <row r="26" spans="1:43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 t="str">
        <f t="shared" si="4"/>
        <v/>
      </c>
      <c r="AP26" s="1" t="str">
        <f t="shared" si="5"/>
        <v/>
      </c>
      <c r="AQ26" s="1" t="str">
        <f t="shared" si="6"/>
        <v/>
      </c>
    </row>
    <row r="27" spans="1:43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 t="str">
        <f t="shared" si="4"/>
        <v/>
      </c>
      <c r="AP27" s="1" t="str">
        <f t="shared" si="5"/>
        <v/>
      </c>
      <c r="AQ27" s="1" t="str">
        <f t="shared" si="6"/>
        <v/>
      </c>
    </row>
    <row r="28" spans="1:43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 t="str">
        <f t="shared" si="4"/>
        <v/>
      </c>
      <c r="AP28" s="1" t="str">
        <f t="shared" si="5"/>
        <v/>
      </c>
      <c r="AQ28" s="1" t="str">
        <f t="shared" si="6"/>
        <v/>
      </c>
    </row>
    <row r="29" spans="1:43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 t="str">
        <f t="shared" si="4"/>
        <v/>
      </c>
      <c r="AP29" s="1" t="str">
        <f t="shared" si="5"/>
        <v/>
      </c>
      <c r="AQ29" s="1" t="str">
        <f t="shared" si="6"/>
        <v/>
      </c>
    </row>
    <row r="30" spans="1:43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 t="str">
        <f t="shared" si="4"/>
        <v/>
      </c>
      <c r="AP30" s="1" t="str">
        <f t="shared" si="5"/>
        <v/>
      </c>
      <c r="AQ30" s="1" t="str">
        <f t="shared" si="6"/>
        <v/>
      </c>
    </row>
    <row r="31" spans="1:43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 t="str">
        <f t="shared" si="4"/>
        <v/>
      </c>
      <c r="AP31" s="1" t="str">
        <f t="shared" si="5"/>
        <v/>
      </c>
      <c r="AQ31" s="1" t="str">
        <f t="shared" si="6"/>
        <v/>
      </c>
    </row>
    <row r="32" spans="1:43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 t="str">
        <f t="shared" si="4"/>
        <v/>
      </c>
      <c r="AP32" s="1" t="str">
        <f t="shared" si="5"/>
        <v/>
      </c>
      <c r="AQ32" s="1" t="str">
        <f t="shared" si="6"/>
        <v/>
      </c>
    </row>
    <row r="33" spans="1:43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tr">
        <f t="shared" si="4"/>
        <v/>
      </c>
      <c r="AP33" s="1" t="str">
        <f t="shared" si="5"/>
        <v/>
      </c>
      <c r="AQ33" s="1" t="str">
        <f t="shared" si="6"/>
        <v/>
      </c>
    </row>
    <row r="34" spans="1:43" ht="15">
      <c r="A34" s="1"/>
      <c r="B34" s="1"/>
      <c r="C34" s="1"/>
      <c r="D34" s="1"/>
      <c r="E34" s="1" t="str">
        <f t="shared" ref="E34:E51" si="7">IF(OR(F34="",G34=""),"",IF(F34&lt;3,IF(G34&lt;3,"Note",IF(G34&lt;6,"Low","Medium")),IF(F34&lt;6,IF(G34&lt;3,"Low",IF(G34&lt;6,"Medium","High")),IF(G34&lt;3,"Medium",IF(G34&lt;6,"High","Critical")))))</f>
        <v/>
      </c>
      <c r="F34" s="3" t="str">
        <f t="shared" ref="F34:F51" si="8">AQ34</f>
        <v/>
      </c>
      <c r="G34" s="3" t="str">
        <f t="shared" ref="G34:G51" si="9">IF(COUNTA(I34,K34,M34,O34,Q34,S34,U34,W34)&lt;8,"",AVERAGE(_xlfn.XLOOKUP(I34,OWASP_Skill,OWASP_Skill_Value),_xlfn.XLOOKUP(K34,OWASP_Motive,OWASP_Motive_Value),_xlfn.XLOOKUP(M34,OWASP_Opportunity,OWASP_Opportunity_Value),_xlfn.XLOOKUP(O34,OWASP_Size,OWASP_Size_Value),_xlfn.XLOOKUP(Q34,OWASP_Discovery,OWASP_Discovery_Value),_xlfn.XLOOKUP(S34,OWASP_Exploit,OWASP_Exploit_Value),_xlfn.XLOOKUP(U34,OWASP_Awareness,OWASP_Awareness_Value),_xlfn.XLOOKUP(W34,OWASP_Detection,OWASP_Detection_Value)))</f>
        <v/>
      </c>
      <c r="H34" s="3" t="str">
        <f t="shared" ref="H34:H51" si="10">IF(E34="","",E34)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 t="str">
        <f t="shared" ref="AO34:AO51" si="11">IF(COUNTA(Y34,AA34,AC34,AE34)&lt;4,"",AVERAGE(_xlfn.XLOOKUP(Y34,OWASP_Confidentiality,OWASP_Confidentiality_Value),_xlfn.XLOOKUP(AA34,OWASP_Integrity,OWASP_Integrity_Value),_xlfn.XLOOKUP(AC34,OWASP_Availability,OWASP_Availability_Value),_xlfn.XLOOKUP(AE34,OWASP_Accountability,OWASP_Accountability_Value)))</f>
        <v/>
      </c>
      <c r="AP34" s="1" t="str">
        <f t="shared" ref="AP34:AP51" si="12">IF(COUNTA(AG34,AI34,AK34,AM34)&lt;4,"",AVERAGE(_xlfn.XLOOKUP(AG34,OWASP_Financial,OWASP_Financial_Value),_xlfn.XLOOKUP(AI34,OWASP_Reputation,OWASP_Reputation_Value),_xlfn.XLOOKUP(AK34,OWASP_NonCompliance,OWASP_NonCompliance_Value),_xlfn.XLOOKUP(AM34,OWASP_Privacy,OWASP_Privacy_Value)))</f>
        <v/>
      </c>
      <c r="AQ34" s="1" t="str">
        <f t="shared" ref="AQ34:AQ51" si="13">IF(AP34&lt;&gt;"",AP34,AO34)</f>
        <v/>
      </c>
    </row>
    <row r="35" spans="1:43" ht="15">
      <c r="A35" s="1"/>
      <c r="B35" s="1"/>
      <c r="C35" s="1"/>
      <c r="D35" s="1"/>
      <c r="E35" s="1" t="str">
        <f t="shared" si="7"/>
        <v/>
      </c>
      <c r="F35" s="3" t="str">
        <f t="shared" si="8"/>
        <v/>
      </c>
      <c r="G35" s="3" t="str">
        <f t="shared" si="9"/>
        <v/>
      </c>
      <c r="H35" s="3" t="str">
        <f t="shared" si="10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 t="str">
        <f t="shared" si="11"/>
        <v/>
      </c>
      <c r="AP35" s="1" t="str">
        <f t="shared" si="12"/>
        <v/>
      </c>
      <c r="AQ35" s="1" t="str">
        <f t="shared" si="13"/>
        <v/>
      </c>
    </row>
    <row r="36" spans="1:43" ht="15">
      <c r="A36" s="1"/>
      <c r="B36" s="1"/>
      <c r="C36" s="1"/>
      <c r="D36" s="1"/>
      <c r="E36" s="1" t="str">
        <f t="shared" si="7"/>
        <v/>
      </c>
      <c r="F36" s="3" t="str">
        <f t="shared" si="8"/>
        <v/>
      </c>
      <c r="G36" s="3" t="str">
        <f t="shared" si="9"/>
        <v/>
      </c>
      <c r="H36" s="3" t="str">
        <f t="shared" si="10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 t="str">
        <f t="shared" si="11"/>
        <v/>
      </c>
      <c r="AP36" s="1" t="str">
        <f t="shared" si="12"/>
        <v/>
      </c>
      <c r="AQ36" s="1" t="str">
        <f t="shared" si="13"/>
        <v/>
      </c>
    </row>
    <row r="37" spans="1:43" ht="15">
      <c r="A37" s="1"/>
      <c r="B37" s="1"/>
      <c r="C37" s="1"/>
      <c r="D37" s="1"/>
      <c r="E37" s="1" t="str">
        <f t="shared" si="7"/>
        <v/>
      </c>
      <c r="F37" s="3" t="str">
        <f t="shared" si="8"/>
        <v/>
      </c>
      <c r="G37" s="3" t="str">
        <f t="shared" si="9"/>
        <v/>
      </c>
      <c r="H37" s="3" t="str">
        <f t="shared" si="10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 t="str">
        <f t="shared" si="11"/>
        <v/>
      </c>
      <c r="AP37" s="1" t="str">
        <f t="shared" si="12"/>
        <v/>
      </c>
      <c r="AQ37" s="1" t="str">
        <f t="shared" si="13"/>
        <v/>
      </c>
    </row>
    <row r="38" spans="1:43" ht="15">
      <c r="A38" s="1"/>
      <c r="B38" s="1"/>
      <c r="C38" s="1"/>
      <c r="D38" s="1"/>
      <c r="E38" s="1" t="str">
        <f t="shared" si="7"/>
        <v/>
      </c>
      <c r="F38" s="3" t="str">
        <f t="shared" si="8"/>
        <v/>
      </c>
      <c r="G38" s="3" t="str">
        <f t="shared" si="9"/>
        <v/>
      </c>
      <c r="H38" s="3" t="str">
        <f t="shared" si="1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 t="str">
        <f t="shared" si="11"/>
        <v/>
      </c>
      <c r="AP38" s="1" t="str">
        <f t="shared" si="12"/>
        <v/>
      </c>
      <c r="AQ38" s="1" t="str">
        <f t="shared" si="13"/>
        <v/>
      </c>
    </row>
    <row r="39" spans="1:43" ht="15">
      <c r="A39" s="1"/>
      <c r="B39" s="1"/>
      <c r="C39" s="1"/>
      <c r="D39" s="1"/>
      <c r="E39" s="1" t="str">
        <f t="shared" si="7"/>
        <v/>
      </c>
      <c r="F39" s="3" t="str">
        <f t="shared" si="8"/>
        <v/>
      </c>
      <c r="G39" s="3" t="str">
        <f t="shared" si="9"/>
        <v/>
      </c>
      <c r="H39" s="3" t="str">
        <f t="shared" si="1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 t="str">
        <f t="shared" si="11"/>
        <v/>
      </c>
      <c r="AP39" s="1" t="str">
        <f t="shared" si="12"/>
        <v/>
      </c>
      <c r="AQ39" s="1" t="str">
        <f t="shared" si="13"/>
        <v/>
      </c>
    </row>
    <row r="40" spans="1:43" ht="15">
      <c r="A40" s="1"/>
      <c r="B40" s="1"/>
      <c r="C40" s="1"/>
      <c r="D40" s="1"/>
      <c r="E40" s="1" t="str">
        <f t="shared" si="7"/>
        <v/>
      </c>
      <c r="F40" s="3" t="str">
        <f t="shared" si="8"/>
        <v/>
      </c>
      <c r="G40" s="3" t="str">
        <f t="shared" si="9"/>
        <v/>
      </c>
      <c r="H40" s="3" t="str">
        <f t="shared" si="1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 t="str">
        <f t="shared" si="11"/>
        <v/>
      </c>
      <c r="AP40" s="1" t="str">
        <f t="shared" si="12"/>
        <v/>
      </c>
      <c r="AQ40" s="1" t="str">
        <f t="shared" si="13"/>
        <v/>
      </c>
    </row>
    <row r="41" spans="1:43" ht="15">
      <c r="A41" s="1"/>
      <c r="B41" s="1"/>
      <c r="C41" s="1"/>
      <c r="D41" s="1"/>
      <c r="E41" s="1" t="str">
        <f t="shared" si="7"/>
        <v/>
      </c>
      <c r="F41" s="3" t="str">
        <f t="shared" si="8"/>
        <v/>
      </c>
      <c r="G41" s="3" t="str">
        <f t="shared" si="9"/>
        <v/>
      </c>
      <c r="H41" s="3" t="str">
        <f t="shared" si="1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 t="str">
        <f t="shared" si="11"/>
        <v/>
      </c>
      <c r="AP41" s="1" t="str">
        <f t="shared" si="12"/>
        <v/>
      </c>
      <c r="AQ41" s="1" t="str">
        <f t="shared" si="13"/>
        <v/>
      </c>
    </row>
    <row r="42" spans="1:43" ht="15">
      <c r="A42" s="1"/>
      <c r="B42" s="1"/>
      <c r="C42" s="1"/>
      <c r="D42" s="1"/>
      <c r="E42" s="1" t="str">
        <f t="shared" si="7"/>
        <v/>
      </c>
      <c r="F42" s="3" t="str">
        <f t="shared" si="8"/>
        <v/>
      </c>
      <c r="G42" s="3" t="str">
        <f t="shared" si="9"/>
        <v/>
      </c>
      <c r="H42" s="3" t="str">
        <f t="shared" si="1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 t="str">
        <f t="shared" si="11"/>
        <v/>
      </c>
      <c r="AP42" s="1" t="str">
        <f t="shared" si="12"/>
        <v/>
      </c>
      <c r="AQ42" s="1" t="str">
        <f t="shared" si="13"/>
        <v/>
      </c>
    </row>
    <row r="43" spans="1:43" ht="15">
      <c r="A43" s="1"/>
      <c r="B43" s="1"/>
      <c r="C43" s="1"/>
      <c r="D43" s="1"/>
      <c r="E43" s="1" t="str">
        <f t="shared" si="7"/>
        <v/>
      </c>
      <c r="F43" s="3" t="str">
        <f t="shared" si="8"/>
        <v/>
      </c>
      <c r="G43" s="3" t="str">
        <f t="shared" si="9"/>
        <v/>
      </c>
      <c r="H43" s="3" t="str">
        <f t="shared" si="1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 t="str">
        <f t="shared" si="11"/>
        <v/>
      </c>
      <c r="AP43" s="1" t="str">
        <f t="shared" si="12"/>
        <v/>
      </c>
      <c r="AQ43" s="1" t="str">
        <f t="shared" si="13"/>
        <v/>
      </c>
    </row>
    <row r="44" spans="1:43" ht="15">
      <c r="A44" s="1"/>
      <c r="B44" s="1"/>
      <c r="C44" s="1"/>
      <c r="D44" s="1"/>
      <c r="E44" s="1" t="str">
        <f t="shared" si="7"/>
        <v/>
      </c>
      <c r="F44" s="3" t="str">
        <f t="shared" si="8"/>
        <v/>
      </c>
      <c r="G44" s="3" t="str">
        <f t="shared" si="9"/>
        <v/>
      </c>
      <c r="H44" s="3" t="str">
        <f t="shared" si="1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 t="str">
        <f t="shared" si="11"/>
        <v/>
      </c>
      <c r="AP44" s="1" t="str">
        <f t="shared" si="12"/>
        <v/>
      </c>
      <c r="AQ44" s="1" t="str">
        <f t="shared" si="13"/>
        <v/>
      </c>
    </row>
    <row r="45" spans="1:43" ht="15">
      <c r="A45" s="1"/>
      <c r="B45" s="1"/>
      <c r="C45" s="1"/>
      <c r="D45" s="1"/>
      <c r="E45" s="1" t="str">
        <f t="shared" si="7"/>
        <v/>
      </c>
      <c r="F45" s="3" t="str">
        <f t="shared" si="8"/>
        <v/>
      </c>
      <c r="G45" s="3" t="str">
        <f t="shared" si="9"/>
        <v/>
      </c>
      <c r="H45" s="3" t="str">
        <f t="shared" si="1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 t="str">
        <f t="shared" si="11"/>
        <v/>
      </c>
      <c r="AP45" s="1" t="str">
        <f t="shared" si="12"/>
        <v/>
      </c>
      <c r="AQ45" s="1" t="str">
        <f t="shared" si="13"/>
        <v/>
      </c>
    </row>
    <row r="46" spans="1:43" ht="15">
      <c r="A46" s="1"/>
      <c r="B46" s="1"/>
      <c r="C46" s="1"/>
      <c r="D46" s="1"/>
      <c r="E46" s="1" t="str">
        <f t="shared" si="7"/>
        <v/>
      </c>
      <c r="F46" s="3" t="str">
        <f t="shared" si="8"/>
        <v/>
      </c>
      <c r="G46" s="3" t="str">
        <f t="shared" si="9"/>
        <v/>
      </c>
      <c r="H46" s="3" t="str">
        <f t="shared" si="10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 t="str">
        <f t="shared" si="11"/>
        <v/>
      </c>
      <c r="AP46" s="1" t="str">
        <f t="shared" si="12"/>
        <v/>
      </c>
      <c r="AQ46" s="1" t="str">
        <f t="shared" si="13"/>
        <v/>
      </c>
    </row>
    <row r="47" spans="1:43" ht="15">
      <c r="A47" s="1"/>
      <c r="B47" s="1"/>
      <c r="C47" s="1"/>
      <c r="D47" s="1"/>
      <c r="E47" s="1" t="str">
        <f t="shared" si="7"/>
        <v/>
      </c>
      <c r="F47" s="3" t="str">
        <f t="shared" si="8"/>
        <v/>
      </c>
      <c r="G47" s="3" t="str">
        <f t="shared" si="9"/>
        <v/>
      </c>
      <c r="H47" s="3" t="str">
        <f t="shared" si="10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 t="str">
        <f t="shared" si="11"/>
        <v/>
      </c>
      <c r="AP47" s="1" t="str">
        <f t="shared" si="12"/>
        <v/>
      </c>
      <c r="AQ47" s="1" t="str">
        <f t="shared" si="13"/>
        <v/>
      </c>
    </row>
    <row r="48" spans="1:43" ht="15">
      <c r="A48" s="1"/>
      <c r="B48" s="1"/>
      <c r="C48" s="1"/>
      <c r="D48" s="1"/>
      <c r="E48" s="1" t="str">
        <f t="shared" si="7"/>
        <v/>
      </c>
      <c r="F48" s="3" t="str">
        <f t="shared" si="8"/>
        <v/>
      </c>
      <c r="G48" s="3" t="str">
        <f t="shared" si="9"/>
        <v/>
      </c>
      <c r="H48" s="3" t="str">
        <f t="shared" si="10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 t="str">
        <f t="shared" si="11"/>
        <v/>
      </c>
      <c r="AP48" s="1" t="str">
        <f t="shared" si="12"/>
        <v/>
      </c>
      <c r="AQ48" s="1" t="str">
        <f t="shared" si="13"/>
        <v/>
      </c>
    </row>
    <row r="49" spans="1:43" ht="15">
      <c r="A49" s="1"/>
      <c r="B49" s="1"/>
      <c r="C49" s="1"/>
      <c r="D49" s="1"/>
      <c r="E49" s="1" t="str">
        <f t="shared" si="7"/>
        <v/>
      </c>
      <c r="F49" s="3" t="str">
        <f t="shared" si="8"/>
        <v/>
      </c>
      <c r="G49" s="3" t="str">
        <f t="shared" si="9"/>
        <v/>
      </c>
      <c r="H49" s="3" t="str">
        <f t="shared" si="10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 t="str">
        <f t="shared" si="11"/>
        <v/>
      </c>
      <c r="AP49" s="1" t="str">
        <f t="shared" si="12"/>
        <v/>
      </c>
      <c r="AQ49" s="1" t="str">
        <f t="shared" si="13"/>
        <v/>
      </c>
    </row>
    <row r="50" spans="1:43" ht="15">
      <c r="A50" s="1"/>
      <c r="B50" s="1"/>
      <c r="C50" s="1"/>
      <c r="D50" s="1"/>
      <c r="E50" s="1" t="str">
        <f t="shared" si="7"/>
        <v/>
      </c>
      <c r="F50" s="3" t="str">
        <f t="shared" si="8"/>
        <v/>
      </c>
      <c r="G50" s="3" t="str">
        <f t="shared" si="9"/>
        <v/>
      </c>
      <c r="H50" s="3" t="str">
        <f t="shared" si="10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 t="str">
        <f t="shared" si="11"/>
        <v/>
      </c>
      <c r="AP50" s="1" t="str">
        <f t="shared" si="12"/>
        <v/>
      </c>
      <c r="AQ50" s="1" t="str">
        <f t="shared" si="13"/>
        <v/>
      </c>
    </row>
    <row r="51" spans="1:43" ht="15">
      <c r="A51" s="1"/>
      <c r="B51" s="1"/>
      <c r="C51" s="1"/>
      <c r="D51" s="1"/>
      <c r="E51" s="1" t="str">
        <f t="shared" si="7"/>
        <v/>
      </c>
      <c r="F51" s="3" t="str">
        <f t="shared" si="8"/>
        <v/>
      </c>
      <c r="G51" s="3" t="str">
        <f t="shared" si="9"/>
        <v/>
      </c>
      <c r="H51" s="3" t="str">
        <f t="shared" si="10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 t="str">
        <f t="shared" si="11"/>
        <v/>
      </c>
      <c r="AP51" s="1" t="str">
        <f t="shared" si="12"/>
        <v/>
      </c>
      <c r="AQ51" s="1" t="str">
        <f t="shared" si="13"/>
        <v/>
      </c>
    </row>
  </sheetData>
  <conditionalFormatting sqref="D2:D51">
    <cfRule type="expression" dxfId="21" priority="1">
      <formula>D2="Residual"</formula>
    </cfRule>
  </conditionalFormatting>
  <conditionalFormatting sqref="E2:E51">
    <cfRule type="expression" dxfId="20" priority="2">
      <formula>E2="Critical"</formula>
    </cfRule>
    <cfRule type="expression" dxfId="19" priority="3">
      <formula>E2="High"</formula>
    </cfRule>
    <cfRule type="expression" dxfId="18" priority="4">
      <formula>E2="Medium"</formula>
    </cfRule>
    <cfRule type="expression" dxfId="17" priority="5">
      <formula>E2="Low"</formula>
    </cfRule>
    <cfRule type="expression" dxfId="16" priority="6">
      <formula>E2="Note"</formula>
    </cfRule>
  </conditionalFormatting>
  <conditionalFormatting sqref="J2:J51">
    <cfRule type="expression" dxfId="15" priority="7">
      <formula>AND($D2="Residual",I2&lt;&gt;"",J2="")</formula>
    </cfRule>
  </conditionalFormatting>
  <conditionalFormatting sqref="L2:L51">
    <cfRule type="expression" dxfId="14" priority="8">
      <formula>AND($D2="Residual",K2&lt;&gt;"",L2="")</formula>
    </cfRule>
  </conditionalFormatting>
  <conditionalFormatting sqref="N2:N51">
    <cfRule type="expression" dxfId="13" priority="9">
      <formula>AND($D2="Residual",M2&lt;&gt;"",N2="")</formula>
    </cfRule>
  </conditionalFormatting>
  <conditionalFormatting sqref="P2:P51">
    <cfRule type="expression" dxfId="12" priority="10">
      <formula>AND($D2="Residual",O2&lt;&gt;"",P2="")</formula>
    </cfRule>
  </conditionalFormatting>
  <conditionalFormatting sqref="R2:R51">
    <cfRule type="expression" dxfId="11" priority="11">
      <formula>AND($D2="Residual",Q2&lt;&gt;"",R2="")</formula>
    </cfRule>
  </conditionalFormatting>
  <conditionalFormatting sqref="T2:T51">
    <cfRule type="expression" dxfId="10" priority="12">
      <formula>AND($D2="Residual",S2&lt;&gt;"",T2="")</formula>
    </cfRule>
  </conditionalFormatting>
  <conditionalFormatting sqref="V2:V51">
    <cfRule type="expression" dxfId="9" priority="13">
      <formula>AND($D2="Residual",U2&lt;&gt;"",V2="")</formula>
    </cfRule>
  </conditionalFormatting>
  <conditionalFormatting sqref="X2:X51">
    <cfRule type="expression" dxfId="8" priority="14">
      <formula>AND($D2="Residual",W2&lt;&gt;"",X2="")</formula>
    </cfRule>
  </conditionalFormatting>
  <conditionalFormatting sqref="Z2:Z51">
    <cfRule type="expression" dxfId="7" priority="15">
      <formula>AND($D2="Residual",Y2&lt;&gt;"",Z2="")</formula>
    </cfRule>
  </conditionalFormatting>
  <conditionalFormatting sqref="AB2:AB51">
    <cfRule type="expression" dxfId="6" priority="16">
      <formula>AND($D2="Residual",AA2&lt;&gt;"",AB2="")</formula>
    </cfRule>
  </conditionalFormatting>
  <conditionalFormatting sqref="AD2:AD51">
    <cfRule type="expression" dxfId="5" priority="17">
      <formula>AND($D2="Residual",AC2&lt;&gt;"",AD2="")</formula>
    </cfRule>
  </conditionalFormatting>
  <conditionalFormatting sqref="AF2:AF51">
    <cfRule type="expression" dxfId="4" priority="18">
      <formula>AND($D2="Residual",AE2&lt;&gt;"",AF2="")</formula>
    </cfRule>
  </conditionalFormatting>
  <conditionalFormatting sqref="AH2:AH51">
    <cfRule type="expression" dxfId="3" priority="19">
      <formula>AND($D2="Residual",AG2&lt;&gt;"",AH2="")</formula>
    </cfRule>
  </conditionalFormatting>
  <conditionalFormatting sqref="AJ2:AJ51">
    <cfRule type="expression" dxfId="2" priority="20">
      <formula>AND($D2="Residual",AI2&lt;&gt;"",AJ2="")</formula>
    </cfRule>
  </conditionalFormatting>
  <conditionalFormatting sqref="AL2:AL51">
    <cfRule type="expression" dxfId="1" priority="21">
      <formula>AND($D2="Residual",AK2&lt;&gt;"",AL2="")</formula>
    </cfRule>
  </conditionalFormatting>
  <conditionalFormatting sqref="AN2:AN51">
    <cfRule type="expression" dxfId="0" priority="22">
      <formula>AND($D2="Residual",AM2&lt;&gt;"",AN2="")</formula>
    </cfRule>
  </conditionalFormatting>
  <dataValidations count="17">
    <dataValidation type="list" sqref="D2:D51" xr:uid="{00000000-0002-0000-0400-000000000000}">
      <formula1>Risk_State</formula1>
    </dataValidation>
    <dataValidation type="list" sqref="I2:I51" xr:uid="{00000000-0002-0000-0400-000001000000}">
      <formula1>OWASP_Skill</formula1>
    </dataValidation>
    <dataValidation type="list" sqref="K2:K51" xr:uid="{00000000-0002-0000-0400-000002000000}">
      <formula1>OWASP_Motive</formula1>
    </dataValidation>
    <dataValidation type="list" sqref="M2:M51" xr:uid="{00000000-0002-0000-0400-000003000000}">
      <formula1>OWASP_Opportunity</formula1>
    </dataValidation>
    <dataValidation type="list" sqref="O2:O51" xr:uid="{00000000-0002-0000-0400-000004000000}">
      <formula1>OWASP_Size</formula1>
    </dataValidation>
    <dataValidation type="list" sqref="Q2:Q51" xr:uid="{00000000-0002-0000-0400-000005000000}">
      <formula1>OWASP_Discovery</formula1>
    </dataValidation>
    <dataValidation type="list" sqref="S2:S51" xr:uid="{00000000-0002-0000-0400-000006000000}">
      <formula1>OWASP_Exploit</formula1>
    </dataValidation>
    <dataValidation type="list" sqref="U2:U51" xr:uid="{00000000-0002-0000-0400-000007000000}">
      <formula1>OWASP_Awareness</formula1>
    </dataValidation>
    <dataValidation type="list" sqref="W2:W51" xr:uid="{00000000-0002-0000-0400-000008000000}">
      <formula1>OWASP_Detection</formula1>
    </dataValidation>
    <dataValidation type="list" sqref="Y2:Y51" xr:uid="{00000000-0002-0000-0400-000009000000}">
      <formula1>OWASP_Confidentiality</formula1>
    </dataValidation>
    <dataValidation type="list" sqref="AA2:AA51" xr:uid="{00000000-0002-0000-0400-00000A000000}">
      <formula1>OWASP_Integrity</formula1>
    </dataValidation>
    <dataValidation type="list" sqref="AC2:AC51" xr:uid="{00000000-0002-0000-0400-00000B000000}">
      <formula1>OWASP_Availability</formula1>
    </dataValidation>
    <dataValidation type="list" sqref="AE2:AE51" xr:uid="{00000000-0002-0000-0400-00000C000000}">
      <formula1>OWASP_Accountability</formula1>
    </dataValidation>
    <dataValidation type="list" sqref="AG2:AG51" xr:uid="{00000000-0002-0000-0400-00000D000000}">
      <formula1>OWASP_Financial</formula1>
    </dataValidation>
    <dataValidation type="list" sqref="AI2:AI51" xr:uid="{00000000-0002-0000-0400-00000E000000}">
      <formula1>OWASP_Reputation</formula1>
    </dataValidation>
    <dataValidation type="list" sqref="AK2:AK51" xr:uid="{00000000-0002-0000-0400-00000F000000}">
      <formula1>OWASP_NonCompliance</formula1>
    </dataValidation>
    <dataValidation type="list" sqref="AM2:AM51" xr:uid="{00000000-0002-0000-0400-000010000000}">
      <formula1>OWASP_Privacy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3"/>
  <sheetViews>
    <sheetView workbookViewId="0"/>
  </sheetViews>
  <sheetFormatPr baseColWidth="10" defaultColWidth="8.83203125" defaultRowHeight="14"/>
  <cols>
    <col min="1" max="1" width="53.83203125" customWidth="1"/>
    <col min="2" max="2" width="12" customWidth="1"/>
    <col min="3" max="3" width="10" customWidth="1"/>
  </cols>
  <sheetData>
    <row r="1" spans="1:10" ht="88.25" customHeight="1">
      <c r="A1" s="6" t="s">
        <v>280</v>
      </c>
      <c r="B1" s="7"/>
      <c r="C1" s="7"/>
      <c r="D1" s="7"/>
      <c r="E1" s="7"/>
      <c r="F1" s="7"/>
      <c r="G1" s="7"/>
      <c r="H1" s="7"/>
      <c r="I1" s="7"/>
      <c r="J1" s="7"/>
    </row>
    <row r="3" spans="1:10" ht="15">
      <c r="A3" s="1" t="s">
        <v>281</v>
      </c>
      <c r="B3" s="1" t="s">
        <v>282</v>
      </c>
      <c r="C3" s="1" t="s">
        <v>283</v>
      </c>
    </row>
    <row r="4" spans="1:10" ht="15">
      <c r="A4" s="1" t="s">
        <v>21</v>
      </c>
      <c r="B4" s="1"/>
      <c r="C4" s="1"/>
    </row>
    <row r="5" spans="1:10" ht="15">
      <c r="A5" s="1" t="s">
        <v>32</v>
      </c>
      <c r="B5" s="1"/>
      <c r="C5" s="1"/>
    </row>
    <row r="6" spans="1:10">
      <c r="A6" s="1"/>
      <c r="B6" s="1"/>
      <c r="C6" s="1"/>
    </row>
    <row r="7" spans="1:10" ht="15">
      <c r="A7" s="1" t="s">
        <v>284</v>
      </c>
      <c r="B7" s="1" t="s">
        <v>282</v>
      </c>
      <c r="C7" s="1" t="s">
        <v>283</v>
      </c>
    </row>
    <row r="8" spans="1:10" ht="15">
      <c r="A8" t="s">
        <v>285</v>
      </c>
      <c r="B8" s="1">
        <v>0</v>
      </c>
      <c r="C8" s="1" t="s">
        <v>286</v>
      </c>
    </row>
    <row r="9" spans="1:10" ht="15">
      <c r="A9" s="1" t="s">
        <v>53</v>
      </c>
      <c r="B9" s="1">
        <v>2.5</v>
      </c>
      <c r="C9" s="1">
        <v>2.5</v>
      </c>
    </row>
    <row r="10" spans="1:10">
      <c r="A10" t="s">
        <v>33</v>
      </c>
      <c r="B10" s="1">
        <v>5</v>
      </c>
      <c r="C10" s="1">
        <v>5</v>
      </c>
    </row>
    <row r="11" spans="1:10" ht="30">
      <c r="A11" s="1" t="s">
        <v>22</v>
      </c>
      <c r="B11" s="1">
        <v>7.5</v>
      </c>
      <c r="C11" s="1">
        <v>7.5</v>
      </c>
    </row>
    <row r="12" spans="1:10" ht="30">
      <c r="A12" s="1" t="s">
        <v>287</v>
      </c>
      <c r="B12" s="1">
        <v>10</v>
      </c>
      <c r="C12" s="1" t="s">
        <v>288</v>
      </c>
    </row>
    <row r="13" spans="1:10">
      <c r="A13" s="1"/>
      <c r="B13" s="1"/>
      <c r="C13" s="1"/>
    </row>
    <row r="14" spans="1:10" ht="15">
      <c r="A14" s="1" t="s">
        <v>289</v>
      </c>
      <c r="B14" s="1" t="s">
        <v>282</v>
      </c>
      <c r="C14" s="1" t="s">
        <v>283</v>
      </c>
    </row>
    <row r="15" spans="1:10" ht="15">
      <c r="A15" s="1" t="s">
        <v>290</v>
      </c>
      <c r="B15" s="1">
        <v>0</v>
      </c>
      <c r="C15" s="1" t="s">
        <v>286</v>
      </c>
    </row>
    <row r="16" spans="1:10" ht="15">
      <c r="A16" s="1" t="s">
        <v>55</v>
      </c>
      <c r="B16" s="1">
        <v>2.5</v>
      </c>
      <c r="C16" s="1">
        <v>2.5</v>
      </c>
    </row>
    <row r="17" spans="1:3" ht="15">
      <c r="A17" s="1" t="s">
        <v>35</v>
      </c>
      <c r="B17" s="1">
        <v>5</v>
      </c>
      <c r="C17" s="1">
        <v>5</v>
      </c>
    </row>
    <row r="18" spans="1:3" ht="15">
      <c r="A18" s="1" t="s">
        <v>47</v>
      </c>
      <c r="B18" s="1">
        <v>7.5</v>
      </c>
      <c r="C18" s="1">
        <v>7.5</v>
      </c>
    </row>
    <row r="19" spans="1:3" ht="15">
      <c r="A19" s="1" t="s">
        <v>24</v>
      </c>
      <c r="B19" s="1">
        <v>10</v>
      </c>
      <c r="C19" s="1" t="s">
        <v>288</v>
      </c>
    </row>
    <row r="20" spans="1:3">
      <c r="A20" s="1"/>
      <c r="B20" s="1"/>
      <c r="C20" s="1"/>
    </row>
    <row r="21" spans="1:3" ht="15">
      <c r="A21" s="1" t="s">
        <v>291</v>
      </c>
      <c r="B21" s="1" t="s">
        <v>282</v>
      </c>
      <c r="C21" s="1" t="s">
        <v>283</v>
      </c>
    </row>
    <row r="22" spans="1:3" ht="15">
      <c r="A22" s="1" t="s">
        <v>292</v>
      </c>
      <c r="B22" s="1">
        <v>0</v>
      </c>
      <c r="C22" s="1" t="s">
        <v>286</v>
      </c>
    </row>
    <row r="23" spans="1:3" ht="30">
      <c r="A23" s="1" t="s">
        <v>57</v>
      </c>
      <c r="B23" s="1">
        <v>2.5</v>
      </c>
      <c r="C23" s="1">
        <v>2.5</v>
      </c>
    </row>
    <row r="24" spans="1:3" ht="15">
      <c r="A24" s="1" t="s">
        <v>37</v>
      </c>
      <c r="B24" s="1">
        <v>5</v>
      </c>
      <c r="C24" s="1">
        <v>5</v>
      </c>
    </row>
    <row r="25" spans="1:3" ht="30">
      <c r="A25" s="1" t="s">
        <v>49</v>
      </c>
      <c r="B25" s="1">
        <v>7.5</v>
      </c>
      <c r="C25" s="1">
        <v>7.5</v>
      </c>
    </row>
    <row r="26" spans="1:3" ht="15">
      <c r="A26" s="1" t="s">
        <v>26</v>
      </c>
      <c r="B26" s="1">
        <v>10</v>
      </c>
      <c r="C26" s="1" t="s">
        <v>288</v>
      </c>
    </row>
    <row r="27" spans="1:3">
      <c r="A27" s="1"/>
      <c r="B27" s="1"/>
      <c r="C27" s="1"/>
    </row>
    <row r="28" spans="1:3" ht="15">
      <c r="A28" s="1" t="s">
        <v>293</v>
      </c>
      <c r="B28" s="1" t="s">
        <v>282</v>
      </c>
      <c r="C28" s="1" t="s">
        <v>283</v>
      </c>
    </row>
    <row r="29" spans="1:3" ht="15">
      <c r="A29" s="1" t="s">
        <v>294</v>
      </c>
      <c r="B29" s="1">
        <v>0</v>
      </c>
      <c r="C29" s="1" t="s">
        <v>286</v>
      </c>
    </row>
    <row r="30" spans="1:3" ht="15">
      <c r="A30" s="1" t="s">
        <v>59</v>
      </c>
      <c r="B30" s="1">
        <v>2.5</v>
      </c>
      <c r="C30" s="1">
        <v>2.5</v>
      </c>
    </row>
    <row r="31" spans="1:3" ht="15">
      <c r="A31" s="1" t="s">
        <v>39</v>
      </c>
      <c r="B31" s="1">
        <v>5</v>
      </c>
      <c r="C31" s="1">
        <v>5</v>
      </c>
    </row>
    <row r="32" spans="1:3" ht="15">
      <c r="A32" s="1" t="s">
        <v>28</v>
      </c>
      <c r="B32" s="1">
        <v>7.5</v>
      </c>
      <c r="C32" s="1">
        <v>7.5</v>
      </c>
    </row>
    <row r="33" spans="1:3" ht="15">
      <c r="A33" s="1" t="s">
        <v>295</v>
      </c>
      <c r="B33" s="1">
        <v>10</v>
      </c>
      <c r="C33" s="1" t="s">
        <v>288</v>
      </c>
    </row>
    <row r="34" spans="1:3">
      <c r="A34" s="1"/>
      <c r="B34" s="1"/>
      <c r="C34" s="1"/>
    </row>
    <row r="35" spans="1:3" ht="15">
      <c r="A35" s="1" t="s">
        <v>296</v>
      </c>
      <c r="B35" s="1" t="s">
        <v>282</v>
      </c>
      <c r="C35" s="1" t="s">
        <v>283</v>
      </c>
    </row>
    <row r="36" spans="1:3" ht="15">
      <c r="A36" s="1" t="s">
        <v>297</v>
      </c>
      <c r="B36" s="1">
        <v>0</v>
      </c>
      <c r="C36" s="1" t="s">
        <v>286</v>
      </c>
    </row>
    <row r="37" spans="1:3" ht="30">
      <c r="A37" s="1" t="s">
        <v>61</v>
      </c>
      <c r="B37" s="1">
        <v>2.5</v>
      </c>
      <c r="C37" s="1">
        <v>2.5</v>
      </c>
    </row>
    <row r="38" spans="1:3" ht="15">
      <c r="A38" s="1" t="s">
        <v>41</v>
      </c>
      <c r="B38" s="1">
        <v>5</v>
      </c>
      <c r="C38" s="1">
        <v>5</v>
      </c>
    </row>
    <row r="39" spans="1:3" ht="30">
      <c r="A39" s="1" t="s">
        <v>30</v>
      </c>
      <c r="B39" s="1">
        <v>7.5</v>
      </c>
      <c r="C39" s="1">
        <v>7.5</v>
      </c>
    </row>
    <row r="40" spans="1:3" ht="15">
      <c r="A40" s="1" t="s">
        <v>298</v>
      </c>
      <c r="B40" s="1">
        <v>10</v>
      </c>
      <c r="C40" s="1" t="s">
        <v>288</v>
      </c>
    </row>
    <row r="41" spans="1:3">
      <c r="A41" s="1"/>
      <c r="B41" s="1"/>
      <c r="C41" s="1"/>
    </row>
    <row r="42" spans="1:3" ht="15">
      <c r="A42" s="1" t="s">
        <v>299</v>
      </c>
      <c r="B42" s="1" t="s">
        <v>282</v>
      </c>
      <c r="C42" s="1" t="s">
        <v>283</v>
      </c>
    </row>
    <row r="43" spans="1:3" ht="15">
      <c r="A43" s="1" t="s">
        <v>300</v>
      </c>
      <c r="B43" s="1">
        <v>0.39500000000000002</v>
      </c>
      <c r="C43" s="1" t="s">
        <v>301</v>
      </c>
    </row>
    <row r="44" spans="1:3" ht="15">
      <c r="A44" s="1" t="s">
        <v>302</v>
      </c>
      <c r="B44" s="1">
        <v>0.64600000000000002</v>
      </c>
      <c r="C44" s="1" t="s">
        <v>303</v>
      </c>
    </row>
    <row r="45" spans="1:3" ht="15">
      <c r="A45" s="1" t="s">
        <v>76</v>
      </c>
      <c r="B45" s="1">
        <v>1</v>
      </c>
      <c r="C45" s="1" t="s">
        <v>304</v>
      </c>
    </row>
    <row r="46" spans="1:3">
      <c r="A46" s="1"/>
      <c r="B46" s="1"/>
      <c r="C46" s="1"/>
    </row>
    <row r="47" spans="1:3" ht="15">
      <c r="A47" s="1" t="s">
        <v>305</v>
      </c>
      <c r="B47" s="1" t="s">
        <v>282</v>
      </c>
      <c r="C47" s="1" t="s">
        <v>283</v>
      </c>
    </row>
    <row r="48" spans="1:3" ht="15">
      <c r="A48" s="1" t="s">
        <v>117</v>
      </c>
      <c r="B48" s="1">
        <v>0.35</v>
      </c>
      <c r="C48" s="1" t="s">
        <v>306</v>
      </c>
    </row>
    <row r="49" spans="1:3" ht="15">
      <c r="A49" s="1" t="s">
        <v>307</v>
      </c>
      <c r="B49" s="1">
        <v>0.61</v>
      </c>
      <c r="C49" s="1" t="s">
        <v>308</v>
      </c>
    </row>
    <row r="50" spans="1:3" ht="15">
      <c r="A50" s="1" t="s">
        <v>78</v>
      </c>
      <c r="B50" s="1">
        <v>0.71</v>
      </c>
      <c r="C50" s="1" t="s">
        <v>301</v>
      </c>
    </row>
    <row r="51" spans="1:3">
      <c r="A51" s="1"/>
      <c r="B51" s="1"/>
      <c r="C51" s="1"/>
    </row>
    <row r="52" spans="1:3" ht="15">
      <c r="A52" s="1" t="s">
        <v>309</v>
      </c>
      <c r="B52" s="1" t="s">
        <v>282</v>
      </c>
      <c r="C52" s="1" t="s">
        <v>283</v>
      </c>
    </row>
    <row r="53" spans="1:3" ht="15">
      <c r="A53" s="1" t="s">
        <v>310</v>
      </c>
      <c r="B53" s="1">
        <v>0.45</v>
      </c>
      <c r="C53" s="1" t="s">
        <v>308</v>
      </c>
    </row>
    <row r="54" spans="1:3" ht="15">
      <c r="A54" s="1" t="s">
        <v>93</v>
      </c>
      <c r="B54" s="1">
        <v>0.56000000000000005</v>
      </c>
      <c r="C54" s="1" t="s">
        <v>311</v>
      </c>
    </row>
    <row r="55" spans="1:3" ht="15">
      <c r="A55" s="1" t="s">
        <v>80</v>
      </c>
      <c r="B55" s="1">
        <v>0.70399999999999996</v>
      </c>
      <c r="C55" s="1" t="s">
        <v>304</v>
      </c>
    </row>
    <row r="56" spans="1:3">
      <c r="A56" s="1"/>
      <c r="B56" s="1"/>
      <c r="C56" s="1"/>
    </row>
    <row r="57" spans="1:3" ht="15">
      <c r="A57" s="1" t="s">
        <v>312</v>
      </c>
      <c r="B57" s="1" t="s">
        <v>282</v>
      </c>
      <c r="C57" s="1" t="s">
        <v>283</v>
      </c>
    </row>
    <row r="58" spans="1:3" ht="15">
      <c r="A58" s="1" t="s">
        <v>80</v>
      </c>
      <c r="B58" s="1">
        <v>0</v>
      </c>
      <c r="C58" s="1" t="s">
        <v>304</v>
      </c>
    </row>
    <row r="59" spans="1:3" ht="15">
      <c r="A59" s="1" t="s">
        <v>85</v>
      </c>
      <c r="B59" s="1">
        <v>0.27500000000000002</v>
      </c>
      <c r="C59" s="1" t="s">
        <v>313</v>
      </c>
    </row>
    <row r="60" spans="1:3" ht="15">
      <c r="A60" s="1" t="s">
        <v>82</v>
      </c>
      <c r="B60" s="1">
        <v>0.66</v>
      </c>
      <c r="C60" s="1" t="s">
        <v>314</v>
      </c>
    </row>
    <row r="61" spans="1:3">
      <c r="A61" s="1"/>
      <c r="B61" s="1"/>
      <c r="C61" s="1"/>
    </row>
    <row r="62" spans="1:3" ht="15">
      <c r="A62" s="1" t="s">
        <v>315</v>
      </c>
      <c r="B62" s="1" t="s">
        <v>282</v>
      </c>
      <c r="C62" s="1" t="s">
        <v>283</v>
      </c>
    </row>
    <row r="63" spans="1:3" ht="15">
      <c r="A63" s="1" t="s">
        <v>80</v>
      </c>
      <c r="B63" s="1">
        <v>0</v>
      </c>
      <c r="C63" s="1" t="s">
        <v>304</v>
      </c>
    </row>
    <row r="64" spans="1:3" ht="15">
      <c r="A64" s="1" t="s">
        <v>85</v>
      </c>
      <c r="B64" s="1">
        <v>0.27500000000000002</v>
      </c>
      <c r="C64" s="1" t="s">
        <v>313</v>
      </c>
    </row>
    <row r="65" spans="1:3" ht="15">
      <c r="A65" s="1" t="s">
        <v>82</v>
      </c>
      <c r="B65" s="1">
        <v>0.66</v>
      </c>
      <c r="C65" s="1" t="s">
        <v>314</v>
      </c>
    </row>
    <row r="66" spans="1:3">
      <c r="A66" s="1"/>
      <c r="B66" s="1"/>
      <c r="C66" s="1"/>
    </row>
    <row r="67" spans="1:3" ht="15">
      <c r="A67" s="1" t="s">
        <v>316</v>
      </c>
      <c r="B67" s="1" t="s">
        <v>282</v>
      </c>
      <c r="C67" s="1" t="s">
        <v>283</v>
      </c>
    </row>
    <row r="68" spans="1:3" ht="15">
      <c r="A68" s="1" t="s">
        <v>80</v>
      </c>
      <c r="B68" s="1">
        <v>0</v>
      </c>
      <c r="C68" s="1" t="s">
        <v>304</v>
      </c>
    </row>
    <row r="69" spans="1:3" ht="15">
      <c r="A69" s="1" t="s">
        <v>85</v>
      </c>
      <c r="B69" s="1">
        <v>0.27500000000000002</v>
      </c>
      <c r="C69" s="1" t="s">
        <v>313</v>
      </c>
    </row>
    <row r="70" spans="1:3" ht="15">
      <c r="A70" s="1" t="s">
        <v>82</v>
      </c>
      <c r="B70" s="1">
        <v>0.66</v>
      </c>
      <c r="C70" s="1" t="s">
        <v>314</v>
      </c>
    </row>
    <row r="71" spans="1:3">
      <c r="A71" s="1"/>
      <c r="B71" s="1"/>
      <c r="C71" s="1"/>
    </row>
    <row r="72" spans="1:3" ht="15">
      <c r="A72" s="1" t="s">
        <v>317</v>
      </c>
      <c r="B72" s="1" t="s">
        <v>282</v>
      </c>
      <c r="C72" s="1" t="s">
        <v>283</v>
      </c>
    </row>
    <row r="73" spans="1:3" ht="15">
      <c r="A73" s="1" t="s">
        <v>76</v>
      </c>
      <c r="B73" s="1">
        <v>0.85</v>
      </c>
      <c r="C73" s="1" t="s">
        <v>304</v>
      </c>
    </row>
    <row r="74" spans="1:3" ht="15">
      <c r="A74" s="1" t="s">
        <v>318</v>
      </c>
      <c r="B74" s="1">
        <v>0.62</v>
      </c>
      <c r="C74" s="1" t="s">
        <v>303</v>
      </c>
    </row>
    <row r="75" spans="1:3" ht="15">
      <c r="A75" s="1" t="s">
        <v>300</v>
      </c>
      <c r="B75" s="1">
        <v>0.55000000000000004</v>
      </c>
      <c r="C75" s="1" t="s">
        <v>301</v>
      </c>
    </row>
    <row r="76" spans="1:3" ht="15">
      <c r="A76" s="1" t="s">
        <v>319</v>
      </c>
      <c r="B76" s="1">
        <v>0.2</v>
      </c>
      <c r="C76" s="1" t="s">
        <v>313</v>
      </c>
    </row>
    <row r="77" spans="1:3">
      <c r="A77" s="1"/>
      <c r="B77" s="1"/>
      <c r="C77" s="1"/>
    </row>
    <row r="78" spans="1:3" ht="15">
      <c r="A78" s="1" t="s">
        <v>320</v>
      </c>
      <c r="B78" s="1" t="s">
        <v>282</v>
      </c>
      <c r="C78" s="1" t="s">
        <v>283</v>
      </c>
    </row>
    <row r="79" spans="1:3" ht="15">
      <c r="A79" s="1" t="s">
        <v>78</v>
      </c>
      <c r="B79" s="1">
        <v>0.77</v>
      </c>
      <c r="C79" s="1" t="s">
        <v>301</v>
      </c>
    </row>
    <row r="80" spans="1:3" ht="15">
      <c r="A80" s="1" t="s">
        <v>117</v>
      </c>
      <c r="B80" s="1">
        <v>0.44</v>
      </c>
      <c r="C80" s="1" t="s">
        <v>306</v>
      </c>
    </row>
    <row r="81" spans="1:3">
      <c r="A81" s="1"/>
      <c r="B81" s="1"/>
      <c r="C81" s="1"/>
    </row>
    <row r="82" spans="1:3" ht="15">
      <c r="A82" s="1" t="s">
        <v>321</v>
      </c>
      <c r="B82" s="1" t="s">
        <v>282</v>
      </c>
      <c r="C82" s="1" t="s">
        <v>283</v>
      </c>
    </row>
    <row r="83" spans="1:3" ht="15">
      <c r="A83" s="1" t="s">
        <v>80</v>
      </c>
      <c r="B83" s="1">
        <v>0.85</v>
      </c>
      <c r="C83" s="1" t="s">
        <v>304</v>
      </c>
    </row>
    <row r="84" spans="1:3" ht="15">
      <c r="A84" s="1" t="s">
        <v>78</v>
      </c>
      <c r="B84" s="1">
        <v>0.62</v>
      </c>
      <c r="C84" s="1" t="s">
        <v>301</v>
      </c>
    </row>
    <row r="85" spans="1:3" ht="15">
      <c r="A85" s="1" t="s">
        <v>117</v>
      </c>
      <c r="B85" s="1">
        <v>0.27</v>
      </c>
      <c r="C85" s="1" t="s">
        <v>306</v>
      </c>
    </row>
    <row r="86" spans="1:3">
      <c r="A86" s="1"/>
      <c r="B86" s="1"/>
      <c r="C86" s="1"/>
    </row>
    <row r="87" spans="1:3" ht="15">
      <c r="A87" s="1" t="s">
        <v>322</v>
      </c>
      <c r="B87" s="1" t="s">
        <v>282</v>
      </c>
      <c r="C87" s="1" t="s">
        <v>283</v>
      </c>
    </row>
    <row r="88" spans="1:3" ht="15">
      <c r="A88" s="1" t="s">
        <v>80</v>
      </c>
      <c r="B88" s="1">
        <v>0.85</v>
      </c>
      <c r="C88" s="1" t="s">
        <v>304</v>
      </c>
    </row>
    <row r="89" spans="1:3" ht="15">
      <c r="A89" s="1" t="s">
        <v>128</v>
      </c>
      <c r="B89" s="1">
        <v>0.62</v>
      </c>
      <c r="C89" s="1" t="s">
        <v>323</v>
      </c>
    </row>
    <row r="90" spans="1:3">
      <c r="A90" s="1"/>
      <c r="B90" s="1"/>
      <c r="C90" s="1"/>
    </row>
    <row r="91" spans="1:3" ht="15">
      <c r="A91" s="1" t="s">
        <v>324</v>
      </c>
      <c r="B91" s="1" t="s">
        <v>282</v>
      </c>
      <c r="C91" s="1" t="s">
        <v>283</v>
      </c>
    </row>
    <row r="92" spans="1:3" ht="15">
      <c r="A92" s="1" t="s">
        <v>115</v>
      </c>
      <c r="B92" s="1">
        <v>0</v>
      </c>
      <c r="C92" s="1" t="s">
        <v>325</v>
      </c>
    </row>
    <row r="93" spans="1:3" ht="15">
      <c r="A93" s="1" t="s">
        <v>130</v>
      </c>
      <c r="B93" s="1">
        <v>1</v>
      </c>
      <c r="C93" s="1" t="s">
        <v>314</v>
      </c>
    </row>
    <row r="94" spans="1:3">
      <c r="A94" s="1"/>
      <c r="B94" s="1"/>
      <c r="C94" s="1"/>
    </row>
    <row r="95" spans="1:3" ht="15">
      <c r="A95" s="1" t="s">
        <v>326</v>
      </c>
      <c r="B95" s="1" t="s">
        <v>282</v>
      </c>
      <c r="C95" s="1" t="s">
        <v>283</v>
      </c>
    </row>
    <row r="96" spans="1:3" ht="15">
      <c r="A96" s="1" t="s">
        <v>80</v>
      </c>
      <c r="B96" s="1">
        <v>0</v>
      </c>
      <c r="C96" s="1" t="s">
        <v>304</v>
      </c>
    </row>
    <row r="97" spans="1:3" ht="15">
      <c r="A97" s="1" t="s">
        <v>78</v>
      </c>
      <c r="B97" s="1">
        <v>0.22</v>
      </c>
      <c r="C97" s="1" t="s">
        <v>301</v>
      </c>
    </row>
    <row r="98" spans="1:3" ht="15">
      <c r="A98" s="1" t="s">
        <v>117</v>
      </c>
      <c r="B98" s="1">
        <v>0.56000000000000005</v>
      </c>
      <c r="C98" s="1" t="s">
        <v>306</v>
      </c>
    </row>
    <row r="99" spans="1:3">
      <c r="A99" s="1"/>
      <c r="B99" s="1"/>
      <c r="C99" s="1"/>
    </row>
    <row r="100" spans="1:3" ht="15">
      <c r="A100" s="1" t="s">
        <v>327</v>
      </c>
      <c r="B100" s="1" t="s">
        <v>282</v>
      </c>
      <c r="C100" s="1" t="s">
        <v>283</v>
      </c>
    </row>
    <row r="101" spans="1:3" ht="15">
      <c r="A101" s="1" t="s">
        <v>80</v>
      </c>
      <c r="B101" s="1">
        <v>0</v>
      </c>
      <c r="C101" s="1" t="s">
        <v>304</v>
      </c>
    </row>
    <row r="102" spans="1:3" ht="15">
      <c r="A102" s="1" t="s">
        <v>78</v>
      </c>
      <c r="B102" s="1">
        <v>0.22</v>
      </c>
      <c r="C102" s="1" t="s">
        <v>301</v>
      </c>
    </row>
    <row r="103" spans="1:3" ht="15">
      <c r="A103" s="1" t="s">
        <v>117</v>
      </c>
      <c r="B103" s="1">
        <v>0.56000000000000005</v>
      </c>
      <c r="C103" s="1" t="s">
        <v>306</v>
      </c>
    </row>
    <row r="104" spans="1:3">
      <c r="A104" s="1"/>
      <c r="B104" s="1"/>
      <c r="C104" s="1"/>
    </row>
    <row r="105" spans="1:3" ht="15">
      <c r="A105" s="1" t="s">
        <v>328</v>
      </c>
      <c r="B105" s="1" t="s">
        <v>282</v>
      </c>
      <c r="C105" s="1" t="s">
        <v>283</v>
      </c>
    </row>
    <row r="106" spans="1:3" ht="15">
      <c r="A106" s="1" t="s">
        <v>80</v>
      </c>
      <c r="B106" s="1">
        <v>0</v>
      </c>
      <c r="C106" s="1" t="s">
        <v>304</v>
      </c>
    </row>
    <row r="107" spans="1:3" ht="15">
      <c r="A107" s="1" t="s">
        <v>78</v>
      </c>
      <c r="B107" s="1">
        <v>0.22</v>
      </c>
      <c r="C107" s="1" t="s">
        <v>301</v>
      </c>
    </row>
    <row r="108" spans="1:3" ht="15">
      <c r="A108" s="1" t="s">
        <v>117</v>
      </c>
      <c r="B108" s="1">
        <v>0.56000000000000005</v>
      </c>
      <c r="C108" s="1" t="s">
        <v>306</v>
      </c>
    </row>
    <row r="109" spans="1:3">
      <c r="A109" s="1"/>
      <c r="B109" s="1"/>
      <c r="C109" s="1"/>
    </row>
    <row r="110" spans="1:3" ht="15">
      <c r="A110" s="1" t="s">
        <v>329</v>
      </c>
      <c r="B110" s="1" t="s">
        <v>282</v>
      </c>
      <c r="C110" s="1" t="s">
        <v>283</v>
      </c>
    </row>
    <row r="111" spans="1:3" ht="15">
      <c r="A111" s="1" t="s">
        <v>76</v>
      </c>
      <c r="B111" s="1">
        <v>0.85</v>
      </c>
      <c r="C111" s="1" t="s">
        <v>304</v>
      </c>
    </row>
    <row r="112" spans="1:3" ht="15">
      <c r="A112" s="1" t="s">
        <v>318</v>
      </c>
      <c r="B112" s="1">
        <v>0.62</v>
      </c>
      <c r="C112" s="1" t="s">
        <v>303</v>
      </c>
    </row>
    <row r="113" spans="1:3" ht="15">
      <c r="A113" s="1" t="s">
        <v>300</v>
      </c>
      <c r="B113" s="1">
        <v>0.55000000000000004</v>
      </c>
      <c r="C113" s="1" t="s">
        <v>301</v>
      </c>
    </row>
    <row r="114" spans="1:3" ht="15">
      <c r="A114" s="1" t="s">
        <v>319</v>
      </c>
      <c r="B114" s="1">
        <v>0.2</v>
      </c>
      <c r="C114" s="1" t="s">
        <v>313</v>
      </c>
    </row>
    <row r="115" spans="1:3">
      <c r="A115" s="1"/>
      <c r="B115" s="1"/>
      <c r="C115" s="1"/>
    </row>
    <row r="116" spans="1:3" ht="15">
      <c r="A116" s="1" t="s">
        <v>330</v>
      </c>
      <c r="B116" s="1" t="s">
        <v>282</v>
      </c>
      <c r="C116" s="1" t="s">
        <v>283</v>
      </c>
    </row>
    <row r="117" spans="1:3" ht="15">
      <c r="A117" s="1" t="s">
        <v>78</v>
      </c>
      <c r="B117" s="1">
        <v>0.77</v>
      </c>
      <c r="C117" s="1" t="s">
        <v>301</v>
      </c>
    </row>
    <row r="118" spans="1:3" ht="15">
      <c r="A118" s="1" t="s">
        <v>117</v>
      </c>
      <c r="B118" s="1">
        <v>0.44</v>
      </c>
      <c r="C118" s="1" t="s">
        <v>306</v>
      </c>
    </row>
    <row r="119" spans="1:3">
      <c r="A119" s="1"/>
      <c r="B119" s="1"/>
      <c r="C119" s="1"/>
    </row>
    <row r="120" spans="1:3" ht="15">
      <c r="A120" s="1" t="s">
        <v>331</v>
      </c>
      <c r="B120" s="1" t="s">
        <v>282</v>
      </c>
      <c r="C120" s="1" t="s">
        <v>283</v>
      </c>
    </row>
    <row r="121" spans="1:3" ht="15">
      <c r="A121" s="1" t="s">
        <v>80</v>
      </c>
      <c r="B121" s="1">
        <v>0.85</v>
      </c>
      <c r="C121" s="1" t="s">
        <v>304</v>
      </c>
    </row>
    <row r="122" spans="1:3" ht="15">
      <c r="A122" s="1" t="s">
        <v>78</v>
      </c>
      <c r="B122" s="1">
        <v>0.62</v>
      </c>
      <c r="C122" s="1" t="s">
        <v>301</v>
      </c>
    </row>
    <row r="123" spans="1:3" ht="15">
      <c r="A123" s="1" t="s">
        <v>117</v>
      </c>
      <c r="B123" s="1">
        <v>0.27</v>
      </c>
      <c r="C123" s="1" t="s">
        <v>306</v>
      </c>
    </row>
    <row r="124" spans="1:3">
      <c r="A124" s="1"/>
      <c r="B124" s="1"/>
      <c r="C124" s="1"/>
    </row>
    <row r="125" spans="1:3" ht="15">
      <c r="A125" s="1" t="s">
        <v>332</v>
      </c>
      <c r="B125" s="1" t="s">
        <v>282</v>
      </c>
      <c r="C125" s="1" t="s">
        <v>283</v>
      </c>
    </row>
    <row r="126" spans="1:3" ht="15">
      <c r="A126" s="1" t="s">
        <v>80</v>
      </c>
      <c r="B126" s="1">
        <v>0.85</v>
      </c>
      <c r="C126" s="1" t="s">
        <v>304</v>
      </c>
    </row>
    <row r="127" spans="1:3" ht="15">
      <c r="A127" s="1" t="s">
        <v>128</v>
      </c>
      <c r="B127" s="1">
        <v>0.62</v>
      </c>
      <c r="C127" s="1" t="s">
        <v>323</v>
      </c>
    </row>
    <row r="128" spans="1:3">
      <c r="A128" s="1"/>
      <c r="B128" s="1"/>
      <c r="C128" s="1"/>
    </row>
    <row r="129" spans="1:3" ht="15">
      <c r="A129" s="1" t="s">
        <v>333</v>
      </c>
      <c r="B129" s="1" t="s">
        <v>282</v>
      </c>
      <c r="C129" s="1" t="s">
        <v>283</v>
      </c>
    </row>
    <row r="130" spans="1:3" ht="15">
      <c r="A130" s="1" t="s">
        <v>115</v>
      </c>
      <c r="B130" s="1">
        <v>0</v>
      </c>
      <c r="C130" s="1" t="s">
        <v>325</v>
      </c>
    </row>
    <row r="131" spans="1:3" ht="15">
      <c r="A131" s="1" t="s">
        <v>130</v>
      </c>
      <c r="B131" s="1">
        <v>1</v>
      </c>
      <c r="C131" s="1" t="s">
        <v>314</v>
      </c>
    </row>
    <row r="132" spans="1:3">
      <c r="A132" s="1"/>
      <c r="B132" s="1"/>
      <c r="C132" s="1"/>
    </row>
    <row r="133" spans="1:3" ht="15">
      <c r="A133" s="1" t="s">
        <v>334</v>
      </c>
      <c r="B133" s="1" t="s">
        <v>282</v>
      </c>
      <c r="C133" s="1" t="s">
        <v>283</v>
      </c>
    </row>
    <row r="134" spans="1:3" ht="15">
      <c r="A134" s="1" t="s">
        <v>80</v>
      </c>
      <c r="B134" s="1">
        <v>0</v>
      </c>
      <c r="C134" s="1" t="s">
        <v>304</v>
      </c>
    </row>
    <row r="135" spans="1:3" ht="15">
      <c r="A135" s="1" t="s">
        <v>78</v>
      </c>
      <c r="B135" s="1">
        <v>0.22</v>
      </c>
      <c r="C135" s="1" t="s">
        <v>301</v>
      </c>
    </row>
    <row r="136" spans="1:3" ht="15">
      <c r="A136" s="1" t="s">
        <v>117</v>
      </c>
      <c r="B136" s="1">
        <v>0.56000000000000005</v>
      </c>
      <c r="C136" s="1" t="s">
        <v>306</v>
      </c>
    </row>
    <row r="137" spans="1:3">
      <c r="A137" s="1"/>
      <c r="B137" s="1"/>
      <c r="C137" s="1"/>
    </row>
    <row r="138" spans="1:3" ht="15">
      <c r="A138" s="1" t="s">
        <v>335</v>
      </c>
      <c r="B138" s="1" t="s">
        <v>282</v>
      </c>
      <c r="C138" s="1" t="s">
        <v>283</v>
      </c>
    </row>
    <row r="139" spans="1:3" ht="15">
      <c r="A139" s="1" t="s">
        <v>80</v>
      </c>
      <c r="B139" s="1">
        <v>0</v>
      </c>
      <c r="C139" s="1" t="s">
        <v>304</v>
      </c>
    </row>
    <row r="140" spans="1:3" ht="15">
      <c r="A140" s="1" t="s">
        <v>78</v>
      </c>
      <c r="B140" s="1">
        <v>0.22</v>
      </c>
      <c r="C140" s="1" t="s">
        <v>301</v>
      </c>
    </row>
    <row r="141" spans="1:3" ht="15">
      <c r="A141" s="1" t="s">
        <v>117</v>
      </c>
      <c r="B141" s="1">
        <v>0.56000000000000005</v>
      </c>
      <c r="C141" s="1" t="s">
        <v>306</v>
      </c>
    </row>
    <row r="142" spans="1:3">
      <c r="A142" s="1"/>
      <c r="B142" s="1"/>
      <c r="C142" s="1"/>
    </row>
    <row r="143" spans="1:3" ht="15">
      <c r="A143" s="1" t="s">
        <v>336</v>
      </c>
      <c r="B143" s="1" t="s">
        <v>282</v>
      </c>
      <c r="C143" s="1" t="s">
        <v>283</v>
      </c>
    </row>
    <row r="144" spans="1:3" ht="15">
      <c r="A144" s="1" t="s">
        <v>80</v>
      </c>
      <c r="B144" s="1">
        <v>0</v>
      </c>
      <c r="C144" s="1" t="s">
        <v>304</v>
      </c>
    </row>
    <row r="145" spans="1:3" ht="15">
      <c r="A145" s="1" t="s">
        <v>78</v>
      </c>
      <c r="B145" s="1">
        <v>0.22</v>
      </c>
      <c r="C145" s="1" t="s">
        <v>301</v>
      </c>
    </row>
    <row r="146" spans="1:3" ht="15">
      <c r="A146" s="1" t="s">
        <v>117</v>
      </c>
      <c r="B146" s="1">
        <v>0.56000000000000005</v>
      </c>
      <c r="C146" s="1" t="s">
        <v>306</v>
      </c>
    </row>
    <row r="147" spans="1:3">
      <c r="A147" s="1"/>
      <c r="B147" s="1"/>
      <c r="C147" s="1"/>
    </row>
    <row r="148" spans="1:3" ht="15">
      <c r="A148" s="1" t="s">
        <v>337</v>
      </c>
      <c r="B148" s="1" t="s">
        <v>282</v>
      </c>
      <c r="C148" s="1" t="s">
        <v>283</v>
      </c>
    </row>
    <row r="149" spans="1:3" ht="15">
      <c r="A149" s="1" t="s">
        <v>338</v>
      </c>
      <c r="B149" s="1">
        <v>1</v>
      </c>
      <c r="C149" s="1"/>
    </row>
    <row r="150" spans="1:3" ht="15">
      <c r="A150" s="1" t="s">
        <v>339</v>
      </c>
      <c r="B150" s="1">
        <v>3</v>
      </c>
      <c r="C150" s="1"/>
    </row>
    <row r="151" spans="1:3" ht="15">
      <c r="A151" s="1" t="s">
        <v>236</v>
      </c>
      <c r="B151" s="1">
        <v>5</v>
      </c>
      <c r="C151" s="1"/>
    </row>
    <row r="152" spans="1:3" ht="15">
      <c r="A152" s="1" t="s">
        <v>176</v>
      </c>
      <c r="B152" s="1">
        <v>6</v>
      </c>
      <c r="C152" s="1"/>
    </row>
    <row r="153" spans="1:3" ht="15">
      <c r="A153" s="1" t="s">
        <v>207</v>
      </c>
      <c r="B153" s="1">
        <v>9</v>
      </c>
      <c r="C153" s="1"/>
    </row>
    <row r="154" spans="1:3">
      <c r="A154" s="1"/>
      <c r="B154" s="1"/>
      <c r="C154" s="1"/>
    </row>
    <row r="155" spans="1:3" ht="15">
      <c r="A155" s="1" t="s">
        <v>340</v>
      </c>
      <c r="B155" s="1" t="s">
        <v>282</v>
      </c>
      <c r="C155" s="1" t="s">
        <v>283</v>
      </c>
    </row>
    <row r="156" spans="1:3" ht="15">
      <c r="A156" s="1" t="s">
        <v>341</v>
      </c>
      <c r="B156" s="1">
        <v>1</v>
      </c>
      <c r="C156" s="1"/>
    </row>
    <row r="157" spans="1:3" ht="15">
      <c r="A157" s="1" t="s">
        <v>238</v>
      </c>
      <c r="B157" s="1">
        <v>4</v>
      </c>
      <c r="C157" s="1"/>
    </row>
    <row r="158" spans="1:3" ht="15">
      <c r="A158" s="1" t="s">
        <v>178</v>
      </c>
      <c r="B158" s="1">
        <v>9</v>
      </c>
      <c r="C158" s="1"/>
    </row>
    <row r="159" spans="1:3">
      <c r="A159" s="1"/>
      <c r="B159" s="1"/>
      <c r="C159" s="1"/>
    </row>
    <row r="160" spans="1:3" ht="15">
      <c r="A160" s="1" t="s">
        <v>342</v>
      </c>
      <c r="B160" s="1" t="s">
        <v>282</v>
      </c>
      <c r="C160" s="1" t="s">
        <v>283</v>
      </c>
    </row>
    <row r="161" spans="1:3" ht="15">
      <c r="A161" s="1" t="s">
        <v>343</v>
      </c>
      <c r="B161" s="1">
        <v>0</v>
      </c>
      <c r="C161" s="1"/>
    </row>
    <row r="162" spans="1:3" ht="15">
      <c r="A162" s="1" t="s">
        <v>210</v>
      </c>
      <c r="B162" s="1">
        <v>4</v>
      </c>
      <c r="C162" s="1"/>
    </row>
    <row r="163" spans="1:3" ht="15">
      <c r="A163" s="1" t="s">
        <v>240</v>
      </c>
      <c r="B163" s="1">
        <v>7</v>
      </c>
      <c r="C163" s="1"/>
    </row>
    <row r="164" spans="1:3" ht="15">
      <c r="A164" s="1" t="s">
        <v>180</v>
      </c>
      <c r="B164" s="1">
        <v>9</v>
      </c>
      <c r="C164" s="1"/>
    </row>
    <row r="165" spans="1:3">
      <c r="A165" s="1"/>
      <c r="B165" s="1"/>
      <c r="C165" s="1"/>
    </row>
    <row r="166" spans="1:3" ht="15">
      <c r="A166" s="1" t="s">
        <v>344</v>
      </c>
      <c r="B166" s="1" t="s">
        <v>282</v>
      </c>
      <c r="C166" s="1" t="s">
        <v>283</v>
      </c>
    </row>
    <row r="167" spans="1:3" ht="15">
      <c r="A167" s="1" t="s">
        <v>345</v>
      </c>
      <c r="B167" s="1">
        <v>2</v>
      </c>
      <c r="C167" s="1"/>
    </row>
    <row r="168" spans="1:3" ht="15">
      <c r="A168" s="1" t="s">
        <v>346</v>
      </c>
      <c r="B168" s="1">
        <v>2</v>
      </c>
      <c r="C168" s="1"/>
    </row>
    <row r="169" spans="1:3" ht="15">
      <c r="A169" s="1" t="s">
        <v>347</v>
      </c>
      <c r="B169" s="1">
        <v>4</v>
      </c>
      <c r="C169" s="1"/>
    </row>
    <row r="170" spans="1:3" ht="15">
      <c r="A170" s="1" t="s">
        <v>348</v>
      </c>
      <c r="B170" s="1">
        <v>5</v>
      </c>
      <c r="C170" s="1"/>
    </row>
    <row r="171" spans="1:3" ht="15">
      <c r="A171" s="1" t="s">
        <v>242</v>
      </c>
      <c r="B171" s="1">
        <v>6</v>
      </c>
      <c r="C171" s="1"/>
    </row>
    <row r="172" spans="1:3" ht="15">
      <c r="A172" s="1" t="s">
        <v>182</v>
      </c>
      <c r="B172" s="1">
        <v>9</v>
      </c>
      <c r="C172" s="1"/>
    </row>
    <row r="173" spans="1:3">
      <c r="A173" s="1"/>
      <c r="B173" s="1"/>
      <c r="C173" s="1"/>
    </row>
    <row r="174" spans="1:3" ht="15">
      <c r="A174" s="1" t="s">
        <v>349</v>
      </c>
      <c r="B174" s="1" t="s">
        <v>282</v>
      </c>
      <c r="C174" s="1" t="s">
        <v>283</v>
      </c>
    </row>
    <row r="175" spans="1:3" ht="15">
      <c r="A175" s="1" t="s">
        <v>350</v>
      </c>
      <c r="B175" s="1">
        <v>1</v>
      </c>
      <c r="C175" s="1"/>
    </row>
    <row r="176" spans="1:3" ht="15">
      <c r="A176" s="1" t="s">
        <v>213</v>
      </c>
      <c r="B176" s="1">
        <v>3</v>
      </c>
      <c r="C176" s="1"/>
    </row>
    <row r="177" spans="1:3" ht="15">
      <c r="A177" s="1" t="s">
        <v>244</v>
      </c>
      <c r="B177" s="1">
        <v>7</v>
      </c>
      <c r="C177" s="1"/>
    </row>
    <row r="178" spans="1:3" ht="15">
      <c r="A178" s="1" t="s">
        <v>184</v>
      </c>
      <c r="B178" s="1">
        <v>9</v>
      </c>
      <c r="C178" s="1"/>
    </row>
    <row r="179" spans="1:3">
      <c r="A179" s="1"/>
      <c r="B179" s="1"/>
      <c r="C179" s="1"/>
    </row>
    <row r="180" spans="1:3" ht="15">
      <c r="A180" s="1" t="s">
        <v>351</v>
      </c>
      <c r="B180" s="1" t="s">
        <v>282</v>
      </c>
      <c r="C180" s="1" t="s">
        <v>283</v>
      </c>
    </row>
    <row r="181" spans="1:3" ht="15">
      <c r="A181" s="1" t="s">
        <v>352</v>
      </c>
      <c r="B181" s="1">
        <v>1</v>
      </c>
      <c r="C181" s="1"/>
    </row>
    <row r="182" spans="1:3" ht="15">
      <c r="A182" s="1" t="s">
        <v>213</v>
      </c>
      <c r="B182" s="1">
        <v>3</v>
      </c>
      <c r="C182" s="1"/>
    </row>
    <row r="183" spans="1:3" ht="15">
      <c r="A183" s="1" t="s">
        <v>244</v>
      </c>
      <c r="B183" s="1">
        <v>5</v>
      </c>
      <c r="C183" s="1"/>
    </row>
    <row r="184" spans="1:3" ht="15">
      <c r="A184" s="1" t="s">
        <v>184</v>
      </c>
      <c r="B184" s="1">
        <v>9</v>
      </c>
      <c r="C184" s="1"/>
    </row>
    <row r="185" spans="1:3">
      <c r="A185" s="1"/>
      <c r="B185" s="1"/>
      <c r="C185" s="1"/>
    </row>
    <row r="186" spans="1:3" ht="15">
      <c r="A186" s="1" t="s">
        <v>353</v>
      </c>
      <c r="B186" s="1" t="s">
        <v>282</v>
      </c>
      <c r="C186" s="1" t="s">
        <v>283</v>
      </c>
    </row>
    <row r="187" spans="1:3" ht="15">
      <c r="A187" s="1" t="s">
        <v>354</v>
      </c>
      <c r="B187" s="1">
        <v>1</v>
      </c>
      <c r="C187" s="1"/>
    </row>
    <row r="188" spans="1:3" ht="15">
      <c r="A188" s="1" t="s">
        <v>216</v>
      </c>
      <c r="B188" s="1">
        <v>4</v>
      </c>
      <c r="C188" s="1"/>
    </row>
    <row r="189" spans="1:3" ht="15">
      <c r="A189" s="1" t="s">
        <v>187</v>
      </c>
      <c r="B189" s="1">
        <v>6</v>
      </c>
      <c r="C189" s="1"/>
    </row>
    <row r="190" spans="1:3" ht="15">
      <c r="A190" s="1" t="s">
        <v>355</v>
      </c>
      <c r="B190" s="1">
        <v>9</v>
      </c>
      <c r="C190" s="1"/>
    </row>
    <row r="191" spans="1:3">
      <c r="A191" s="1"/>
      <c r="B191" s="1"/>
      <c r="C191" s="1"/>
    </row>
    <row r="192" spans="1:3" ht="15">
      <c r="A192" s="1" t="s">
        <v>356</v>
      </c>
      <c r="B192" s="1" t="s">
        <v>282</v>
      </c>
      <c r="C192" s="1" t="s">
        <v>283</v>
      </c>
    </row>
    <row r="193" spans="1:3" ht="15">
      <c r="A193" s="1" t="s">
        <v>357</v>
      </c>
      <c r="B193" s="1">
        <v>1</v>
      </c>
      <c r="C193" s="1"/>
    </row>
    <row r="194" spans="1:3" ht="15">
      <c r="A194" s="1" t="s">
        <v>218</v>
      </c>
      <c r="B194" s="1">
        <v>3</v>
      </c>
      <c r="C194" s="1"/>
    </row>
    <row r="195" spans="1:3" ht="15">
      <c r="A195" s="1" t="s">
        <v>248</v>
      </c>
      <c r="B195" s="1">
        <v>8</v>
      </c>
      <c r="C195" s="1"/>
    </row>
    <row r="196" spans="1:3" ht="15">
      <c r="A196" s="1" t="s">
        <v>189</v>
      </c>
      <c r="B196" s="1">
        <v>9</v>
      </c>
      <c r="C196" s="1"/>
    </row>
    <row r="197" spans="1:3">
      <c r="A197" s="1"/>
      <c r="B197" s="1"/>
      <c r="C197" s="1"/>
    </row>
    <row r="198" spans="1:3" ht="15">
      <c r="A198" s="1" t="s">
        <v>358</v>
      </c>
      <c r="B198" s="1" t="s">
        <v>282</v>
      </c>
      <c r="C198" s="1" t="s">
        <v>283</v>
      </c>
    </row>
    <row r="199" spans="1:3" ht="15">
      <c r="A199" s="1" t="s">
        <v>268</v>
      </c>
      <c r="B199" s="1">
        <v>2</v>
      </c>
      <c r="C199" s="1"/>
    </row>
    <row r="200" spans="1:3" ht="15">
      <c r="A200" s="1" t="s">
        <v>220</v>
      </c>
      <c r="B200" s="1">
        <v>6</v>
      </c>
      <c r="C200" s="1"/>
    </row>
    <row r="201" spans="1:3" ht="15">
      <c r="A201" s="1" t="s">
        <v>359</v>
      </c>
      <c r="B201" s="1">
        <v>6</v>
      </c>
      <c r="C201" s="1"/>
    </row>
    <row r="202" spans="1:3" ht="15">
      <c r="A202" s="1" t="s">
        <v>191</v>
      </c>
      <c r="B202" s="1">
        <v>7</v>
      </c>
      <c r="C202" s="1"/>
    </row>
    <row r="203" spans="1:3" ht="15">
      <c r="A203" s="1" t="s">
        <v>360</v>
      </c>
      <c r="B203" s="1">
        <v>9</v>
      </c>
      <c r="C203" s="1"/>
    </row>
    <row r="204" spans="1:3">
      <c r="A204" s="1"/>
      <c r="B204" s="1"/>
      <c r="C204" s="1"/>
    </row>
    <row r="205" spans="1:3" ht="15">
      <c r="A205" s="1" t="s">
        <v>361</v>
      </c>
      <c r="B205" s="1" t="s">
        <v>282</v>
      </c>
      <c r="C205" s="1" t="s">
        <v>283</v>
      </c>
    </row>
    <row r="206" spans="1:3" ht="15">
      <c r="A206" s="1" t="s">
        <v>270</v>
      </c>
      <c r="B206" s="1">
        <v>1</v>
      </c>
      <c r="C206" s="1"/>
    </row>
    <row r="207" spans="1:3" ht="15">
      <c r="A207" s="1" t="s">
        <v>222</v>
      </c>
      <c r="B207" s="1">
        <v>3</v>
      </c>
      <c r="C207" s="1"/>
    </row>
    <row r="208" spans="1:3" ht="15">
      <c r="A208" s="1" t="s">
        <v>362</v>
      </c>
      <c r="B208" s="1">
        <v>5</v>
      </c>
      <c r="C208" s="1"/>
    </row>
    <row r="209" spans="1:3" ht="15">
      <c r="A209" s="1" t="s">
        <v>193</v>
      </c>
      <c r="B209" s="1">
        <v>7</v>
      </c>
      <c r="C209" s="1"/>
    </row>
    <row r="210" spans="1:3" ht="15">
      <c r="A210" s="1" t="s">
        <v>363</v>
      </c>
      <c r="B210" s="1">
        <v>9</v>
      </c>
      <c r="C210" s="1"/>
    </row>
    <row r="211" spans="1:3">
      <c r="A211" s="1"/>
      <c r="B211" s="1"/>
      <c r="C211" s="1"/>
    </row>
    <row r="212" spans="1:3" ht="15">
      <c r="A212" s="1" t="s">
        <v>364</v>
      </c>
      <c r="B212" s="1" t="s">
        <v>282</v>
      </c>
      <c r="C212" s="1" t="s">
        <v>283</v>
      </c>
    </row>
    <row r="213" spans="1:3" ht="15">
      <c r="A213" s="1" t="s">
        <v>224</v>
      </c>
      <c r="B213" s="1">
        <v>1</v>
      </c>
      <c r="C213" s="1"/>
    </row>
    <row r="214" spans="1:3" ht="15">
      <c r="A214" s="1" t="s">
        <v>195</v>
      </c>
      <c r="B214" s="1">
        <v>5</v>
      </c>
      <c r="C214" s="1"/>
    </row>
    <row r="215" spans="1:3" ht="15">
      <c r="A215" s="1" t="s">
        <v>365</v>
      </c>
      <c r="B215" s="1">
        <v>5</v>
      </c>
      <c r="C215" s="1"/>
    </row>
    <row r="216" spans="1:3" ht="15">
      <c r="A216" s="1" t="s">
        <v>366</v>
      </c>
      <c r="B216" s="1">
        <v>7</v>
      </c>
      <c r="C216" s="1"/>
    </row>
    <row r="217" spans="1:3" ht="15">
      <c r="A217" s="1" t="s">
        <v>367</v>
      </c>
      <c r="B217" s="1">
        <v>9</v>
      </c>
      <c r="C217" s="1"/>
    </row>
    <row r="218" spans="1:3">
      <c r="A218" s="1"/>
      <c r="B218" s="1"/>
      <c r="C218" s="1"/>
    </row>
    <row r="219" spans="1:3" ht="15">
      <c r="A219" s="1" t="s">
        <v>368</v>
      </c>
      <c r="B219" s="1" t="s">
        <v>282</v>
      </c>
      <c r="C219" s="1" t="s">
        <v>283</v>
      </c>
    </row>
    <row r="220" spans="1:3" ht="15">
      <c r="A220" s="1" t="s">
        <v>226</v>
      </c>
      <c r="B220" s="1">
        <v>1</v>
      </c>
      <c r="C220" s="1"/>
    </row>
    <row r="221" spans="1:3" ht="15">
      <c r="A221" s="1" t="s">
        <v>197</v>
      </c>
      <c r="B221" s="1">
        <v>7</v>
      </c>
      <c r="C221" s="1"/>
    </row>
    <row r="222" spans="1:3" ht="15">
      <c r="A222" s="1" t="s">
        <v>369</v>
      </c>
      <c r="B222" s="1">
        <v>9</v>
      </c>
      <c r="C222" s="1"/>
    </row>
    <row r="223" spans="1:3">
      <c r="A223" s="1"/>
      <c r="B223" s="1"/>
      <c r="C223" s="1"/>
    </row>
    <row r="224" spans="1:3" ht="15">
      <c r="A224" s="1" t="s">
        <v>370</v>
      </c>
      <c r="B224" s="1" t="s">
        <v>282</v>
      </c>
      <c r="C224" s="1" t="s">
        <v>283</v>
      </c>
    </row>
    <row r="225" spans="1:3" ht="15">
      <c r="A225" s="1" t="s">
        <v>274</v>
      </c>
      <c r="B225" s="1">
        <v>1</v>
      </c>
      <c r="C225" s="1"/>
    </row>
    <row r="226" spans="1:3" ht="15">
      <c r="A226" s="1" t="s">
        <v>228</v>
      </c>
      <c r="B226" s="1">
        <v>3</v>
      </c>
      <c r="C226" s="1"/>
    </row>
    <row r="227" spans="1:3" ht="15">
      <c r="A227" s="1" t="s">
        <v>199</v>
      </c>
      <c r="B227" s="1">
        <v>7</v>
      </c>
      <c r="C227" s="1"/>
    </row>
    <row r="228" spans="1:3" ht="15">
      <c r="A228" s="1" t="s">
        <v>371</v>
      </c>
      <c r="B228" s="1">
        <v>9</v>
      </c>
      <c r="C228" s="1"/>
    </row>
    <row r="229" spans="1:3">
      <c r="A229" s="1"/>
      <c r="B229" s="1"/>
      <c r="C229" s="1"/>
    </row>
    <row r="230" spans="1:3" ht="15">
      <c r="A230" s="1" t="s">
        <v>372</v>
      </c>
      <c r="B230" s="1" t="s">
        <v>282</v>
      </c>
      <c r="C230" s="1" t="s">
        <v>283</v>
      </c>
    </row>
    <row r="231" spans="1:3" ht="15">
      <c r="A231" s="1" t="s">
        <v>230</v>
      </c>
      <c r="B231" s="1">
        <v>1</v>
      </c>
      <c r="C231" s="1"/>
    </row>
    <row r="232" spans="1:3" ht="15">
      <c r="A232" s="1" t="s">
        <v>201</v>
      </c>
      <c r="B232" s="1">
        <v>4</v>
      </c>
      <c r="C232" s="1"/>
    </row>
    <row r="233" spans="1:3" ht="15">
      <c r="A233" s="1" t="s">
        <v>255</v>
      </c>
      <c r="B233" s="1">
        <v>5</v>
      </c>
      <c r="C233" s="1"/>
    </row>
    <row r="234" spans="1:3" ht="15">
      <c r="A234" s="1" t="s">
        <v>373</v>
      </c>
      <c r="B234" s="1">
        <v>9</v>
      </c>
      <c r="C234" s="1"/>
    </row>
    <row r="235" spans="1:3">
      <c r="A235" s="1"/>
      <c r="B235" s="1"/>
      <c r="C235" s="1"/>
    </row>
    <row r="236" spans="1:3" ht="15">
      <c r="A236" s="1" t="s">
        <v>374</v>
      </c>
      <c r="B236" s="1" t="s">
        <v>282</v>
      </c>
      <c r="C236" s="1" t="s">
        <v>283</v>
      </c>
    </row>
    <row r="237" spans="1:3" ht="15">
      <c r="A237" s="1" t="s">
        <v>232</v>
      </c>
      <c r="B237" s="1">
        <v>2</v>
      </c>
      <c r="C237" s="1"/>
    </row>
    <row r="238" spans="1:3" ht="15">
      <c r="A238" s="1" t="s">
        <v>257</v>
      </c>
      <c r="B238" s="1">
        <v>5</v>
      </c>
      <c r="C238" s="1"/>
    </row>
    <row r="239" spans="1:3" ht="15">
      <c r="A239" s="1" t="s">
        <v>203</v>
      </c>
      <c r="B239" s="1">
        <v>7</v>
      </c>
      <c r="C239" s="1"/>
    </row>
    <row r="240" spans="1:3">
      <c r="A240" s="1"/>
      <c r="B240" s="1"/>
      <c r="C240" s="1"/>
    </row>
    <row r="241" spans="1:3" ht="15">
      <c r="A241" s="1" t="s">
        <v>375</v>
      </c>
      <c r="B241" s="1" t="s">
        <v>282</v>
      </c>
      <c r="C241" s="1" t="s">
        <v>283</v>
      </c>
    </row>
    <row r="242" spans="1:3" ht="15">
      <c r="A242" s="1" t="s">
        <v>278</v>
      </c>
      <c r="B242" s="1">
        <v>3</v>
      </c>
      <c r="C242" s="1"/>
    </row>
    <row r="243" spans="1:3" ht="15">
      <c r="A243" s="1" t="s">
        <v>234</v>
      </c>
      <c r="B243" s="1">
        <v>5</v>
      </c>
      <c r="C243" s="1"/>
    </row>
    <row r="244" spans="1:3" ht="15">
      <c r="A244" s="1" t="s">
        <v>205</v>
      </c>
      <c r="B244" s="1">
        <v>7</v>
      </c>
      <c r="C244" s="1"/>
    </row>
    <row r="245" spans="1:3" ht="15">
      <c r="A245" s="1" t="s">
        <v>376</v>
      </c>
      <c r="B245" s="1">
        <v>9</v>
      </c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9" spans="1:3" ht="16">
      <c r="A249" s="4" t="s">
        <v>377</v>
      </c>
      <c r="B249" s="4" t="s">
        <v>378</v>
      </c>
      <c r="C249" s="4" t="s">
        <v>379</v>
      </c>
    </row>
    <row r="250" spans="1:3" ht="45">
      <c r="A250" s="1" t="s">
        <v>380</v>
      </c>
      <c r="B250" s="1" t="s">
        <v>381</v>
      </c>
      <c r="C250" s="1" t="s">
        <v>382</v>
      </c>
    </row>
    <row r="251" spans="1:3" ht="60">
      <c r="A251" s="1" t="s">
        <v>383</v>
      </c>
      <c r="B251" s="1" t="s">
        <v>384</v>
      </c>
      <c r="C251" s="1" t="s">
        <v>382</v>
      </c>
    </row>
    <row r="252" spans="1:3" ht="75">
      <c r="A252" s="1" t="s">
        <v>385</v>
      </c>
      <c r="B252" s="1" t="s">
        <v>386</v>
      </c>
      <c r="C252" s="1" t="s">
        <v>382</v>
      </c>
    </row>
    <row r="253" spans="1:3" ht="90">
      <c r="A253" s="1" t="s">
        <v>387</v>
      </c>
      <c r="B253" s="1" t="s">
        <v>388</v>
      </c>
      <c r="C253" s="1" t="s">
        <v>389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130</vt:i4>
      </vt:variant>
    </vt:vector>
  </HeadingPairs>
  <TitlesOfParts>
    <vt:vector size="136" baseType="lpstr">
      <vt:lpstr>DREAD</vt:lpstr>
      <vt:lpstr>CVSS 2.0</vt:lpstr>
      <vt:lpstr>CVSS 3.0</vt:lpstr>
      <vt:lpstr>CVSS 3.1</vt:lpstr>
      <vt:lpstr>OWASP RRM</vt:lpstr>
      <vt:lpstr>Data</vt:lpstr>
      <vt:lpstr>CVSS2_A</vt:lpstr>
      <vt:lpstr>CVSS2_A_Code</vt:lpstr>
      <vt:lpstr>CVSS2_A_Value</vt:lpstr>
      <vt:lpstr>CVSS2_AC</vt:lpstr>
      <vt:lpstr>CVSS2_AC_Code</vt:lpstr>
      <vt:lpstr>CVSS2_AC_Value</vt:lpstr>
      <vt:lpstr>CVSS2_Au</vt:lpstr>
      <vt:lpstr>CVSS2_Au_Code</vt:lpstr>
      <vt:lpstr>CVSS2_Au_Value</vt:lpstr>
      <vt:lpstr>CVSS2_AV</vt:lpstr>
      <vt:lpstr>CVSS2_AV_Code</vt:lpstr>
      <vt:lpstr>CVSS2_AV_Value</vt:lpstr>
      <vt:lpstr>CVSS2_C</vt:lpstr>
      <vt:lpstr>CVSS2_C_Code</vt:lpstr>
      <vt:lpstr>CVSS2_C_Value</vt:lpstr>
      <vt:lpstr>CVSS2_I</vt:lpstr>
      <vt:lpstr>CVSS2_I_Code</vt:lpstr>
      <vt:lpstr>CVSS2_I_Value</vt:lpstr>
      <vt:lpstr>CVSS30_A</vt:lpstr>
      <vt:lpstr>CVSS30_A_Code</vt:lpstr>
      <vt:lpstr>CVSS30_A_Value</vt:lpstr>
      <vt:lpstr>CVSS30_AC</vt:lpstr>
      <vt:lpstr>CVSS30_AC_Code</vt:lpstr>
      <vt:lpstr>CVSS30_AC_Value</vt:lpstr>
      <vt:lpstr>CVSS30_AV</vt:lpstr>
      <vt:lpstr>CVSS30_AV_Code</vt:lpstr>
      <vt:lpstr>CVSS30_AV_Value</vt:lpstr>
      <vt:lpstr>CVSS30_C</vt:lpstr>
      <vt:lpstr>CVSS30_C_Code</vt:lpstr>
      <vt:lpstr>CVSS30_C_Value</vt:lpstr>
      <vt:lpstr>CVSS30_I</vt:lpstr>
      <vt:lpstr>CVSS30_I_Code</vt:lpstr>
      <vt:lpstr>CVSS30_I_Value</vt:lpstr>
      <vt:lpstr>CVSS30_PR</vt:lpstr>
      <vt:lpstr>CVSS30_PR_Code</vt:lpstr>
      <vt:lpstr>CVSS30_PR_Value</vt:lpstr>
      <vt:lpstr>CVSS30_S</vt:lpstr>
      <vt:lpstr>CVSS30_S_Code</vt:lpstr>
      <vt:lpstr>CVSS30_S_Value</vt:lpstr>
      <vt:lpstr>CVSS30_UI</vt:lpstr>
      <vt:lpstr>CVSS30_UI_Code</vt:lpstr>
      <vt:lpstr>CVSS30_UI_Value</vt:lpstr>
      <vt:lpstr>CVSS31_A</vt:lpstr>
      <vt:lpstr>CVSS31_A_Code</vt:lpstr>
      <vt:lpstr>CVSS31_A_Value</vt:lpstr>
      <vt:lpstr>CVSS31_AC</vt:lpstr>
      <vt:lpstr>CVSS31_AC_Code</vt:lpstr>
      <vt:lpstr>CVSS31_AC_Value</vt:lpstr>
      <vt:lpstr>CVSS31_AV</vt:lpstr>
      <vt:lpstr>CVSS31_AV_Code</vt:lpstr>
      <vt:lpstr>CVSS31_AV_Value</vt:lpstr>
      <vt:lpstr>CVSS31_C</vt:lpstr>
      <vt:lpstr>CVSS31_C_Code</vt:lpstr>
      <vt:lpstr>CVSS31_C_Value</vt:lpstr>
      <vt:lpstr>CVSS31_I</vt:lpstr>
      <vt:lpstr>CVSS31_I_Code</vt:lpstr>
      <vt:lpstr>CVSS31_I_Value</vt:lpstr>
      <vt:lpstr>CVSS31_PR</vt:lpstr>
      <vt:lpstr>CVSS31_PR_Code</vt:lpstr>
      <vt:lpstr>CVSS31_PR_Value</vt:lpstr>
      <vt:lpstr>CVSS31_S</vt:lpstr>
      <vt:lpstr>CVSS31_S_Code</vt:lpstr>
      <vt:lpstr>CVSS31_S_Value</vt:lpstr>
      <vt:lpstr>CVSS31_UI</vt:lpstr>
      <vt:lpstr>CVSS31_UI_Code</vt:lpstr>
      <vt:lpstr>CVSS31_UI_Value</vt:lpstr>
      <vt:lpstr>DREAD_AffectedUsers</vt:lpstr>
      <vt:lpstr>DREAD_AffectedUsers_Code</vt:lpstr>
      <vt:lpstr>DREAD_AffectedUsers_Value</vt:lpstr>
      <vt:lpstr>DREAD_Damage</vt:lpstr>
      <vt:lpstr>DREAD_Damage_Code</vt:lpstr>
      <vt:lpstr>DREAD_Damage_Value</vt:lpstr>
      <vt:lpstr>DREAD_Discoverability</vt:lpstr>
      <vt:lpstr>DREAD_Discoverability_Code</vt:lpstr>
      <vt:lpstr>DREAD_Discoverability_Value</vt:lpstr>
      <vt:lpstr>DREAD_Exploitability</vt:lpstr>
      <vt:lpstr>DREAD_Exploitability_Code</vt:lpstr>
      <vt:lpstr>DREAD_Exploitability_Value</vt:lpstr>
      <vt:lpstr>DREAD_Reproducibility</vt:lpstr>
      <vt:lpstr>DREAD_Reproducibility_Code</vt:lpstr>
      <vt:lpstr>DREAD_Reproducibility_Value</vt:lpstr>
      <vt:lpstr>OWASP_Accountability</vt:lpstr>
      <vt:lpstr>OWASP_Accountability_Code</vt:lpstr>
      <vt:lpstr>OWASP_Accountability_Value</vt:lpstr>
      <vt:lpstr>OWASP_Availability</vt:lpstr>
      <vt:lpstr>OWASP_Availability_Code</vt:lpstr>
      <vt:lpstr>OWASP_Availability_Value</vt:lpstr>
      <vt:lpstr>OWASP_Awareness</vt:lpstr>
      <vt:lpstr>OWASP_Awareness_Code</vt:lpstr>
      <vt:lpstr>OWASP_Awareness_Value</vt:lpstr>
      <vt:lpstr>OWASP_Confidentiality</vt:lpstr>
      <vt:lpstr>OWASP_Confidentiality_Code</vt:lpstr>
      <vt:lpstr>OWASP_Confidentiality_Value</vt:lpstr>
      <vt:lpstr>OWASP_Detection</vt:lpstr>
      <vt:lpstr>OWASP_Detection_Code</vt:lpstr>
      <vt:lpstr>OWASP_Detection_Value</vt:lpstr>
      <vt:lpstr>OWASP_Discovery</vt:lpstr>
      <vt:lpstr>OWASP_Discovery_Code</vt:lpstr>
      <vt:lpstr>OWASP_Discovery_Value</vt:lpstr>
      <vt:lpstr>OWASP_Exploit</vt:lpstr>
      <vt:lpstr>OWASP_Exploit_Code</vt:lpstr>
      <vt:lpstr>OWASP_Exploit_Value</vt:lpstr>
      <vt:lpstr>OWASP_Financial</vt:lpstr>
      <vt:lpstr>OWASP_Financial_Code</vt:lpstr>
      <vt:lpstr>OWASP_Financial_Value</vt:lpstr>
      <vt:lpstr>OWASP_Integrity</vt:lpstr>
      <vt:lpstr>OWASP_Integrity_Code</vt:lpstr>
      <vt:lpstr>OWASP_Integrity_Value</vt:lpstr>
      <vt:lpstr>OWASP_Motive</vt:lpstr>
      <vt:lpstr>OWASP_Motive_Code</vt:lpstr>
      <vt:lpstr>OWASP_Motive_Value</vt:lpstr>
      <vt:lpstr>OWASP_NonCompliance</vt:lpstr>
      <vt:lpstr>OWASP_NonCompliance_Code</vt:lpstr>
      <vt:lpstr>OWASP_NonCompliance_Value</vt:lpstr>
      <vt:lpstr>OWASP_Opportunity</vt:lpstr>
      <vt:lpstr>OWASP_Opportunity_Code</vt:lpstr>
      <vt:lpstr>OWASP_Opportunity_Value</vt:lpstr>
      <vt:lpstr>OWASP_Privacy</vt:lpstr>
      <vt:lpstr>OWASP_Privacy_Code</vt:lpstr>
      <vt:lpstr>OWASP_Privacy_Value</vt:lpstr>
      <vt:lpstr>OWASP_Reputation</vt:lpstr>
      <vt:lpstr>OWASP_Reputation_Code</vt:lpstr>
      <vt:lpstr>OWASP_Reputation_Value</vt:lpstr>
      <vt:lpstr>OWASP_Size</vt:lpstr>
      <vt:lpstr>OWASP_Size_Code</vt:lpstr>
      <vt:lpstr>OWASP_Size_Value</vt:lpstr>
      <vt:lpstr>OWASP_Skill</vt:lpstr>
      <vt:lpstr>OWASP_Skill_Code</vt:lpstr>
      <vt:lpstr>OWASP_Skill_Value</vt:lpstr>
      <vt:lpstr>Risk_State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Blaine Wilson</cp:lastModifiedBy>
  <dcterms:modified xsi:type="dcterms:W3CDTF">2026-09-17T23:01:59Z</dcterms:modified>
</cp:coreProperties>
</file>